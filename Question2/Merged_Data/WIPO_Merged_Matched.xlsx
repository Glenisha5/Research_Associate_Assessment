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Environmental_Startups\Merged_Data\"/>
    </mc:Choice>
  </mc:AlternateContent>
  <xr:revisionPtr revIDLastSave="0" documentId="13_ncr:1_{96FBFE78-1FD1-40F6-8593-199876E0D51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tartup_Summary" sheetId="1" r:id="rId1"/>
    <sheet name="Patents_Merged" sheetId="2" r:id="rId2"/>
    <sheet name="Rejected_Rows" sheetId="3" r:id="rId3"/>
    <sheet name="Alias_Table" sheetId="4" r:id="rId4"/>
    <sheet name="File_Checks" sheetId="5" r:id="rId5"/>
  </sheets>
  <definedNames>
    <definedName name="_xlnm._FilterDatabase" localSheetId="3" hidden="1">Alias_Table!$A$1:$C$11</definedName>
    <definedName name="_xlnm._FilterDatabase" localSheetId="4" hidden="1">File_Checks!$A$1:$G$11</definedName>
    <definedName name="_xlnm._FilterDatabase" localSheetId="1" hidden="1">Patents_Merged!$A$1:$S$731</definedName>
    <definedName name="_xlnm._FilterDatabase" localSheetId="2" hidden="1">Rejected_Rows!$A$1:$K$3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2" i="1" l="1"/>
  <c r="Q21" i="1"/>
  <c r="P21" i="1"/>
  <c r="M21" i="1"/>
  <c r="K21" i="1"/>
  <c r="L21" i="1" s="1"/>
  <c r="Q20" i="1"/>
  <c r="P20" i="1"/>
  <c r="M20" i="1"/>
  <c r="L20" i="1"/>
  <c r="K20" i="1"/>
  <c r="R20" i="1" s="1"/>
  <c r="Q19" i="1"/>
  <c r="P19" i="1"/>
  <c r="O19" i="1"/>
  <c r="M19" i="1"/>
  <c r="K19" i="1"/>
  <c r="N19" i="1" s="1"/>
  <c r="Q18" i="1"/>
  <c r="P18" i="1"/>
  <c r="M18" i="1"/>
  <c r="K18" i="1"/>
  <c r="L18" i="1" s="1"/>
  <c r="Q17" i="1"/>
  <c r="P17" i="1"/>
  <c r="M17" i="1"/>
  <c r="L17" i="1"/>
  <c r="K17" i="1"/>
  <c r="R17" i="1" s="1"/>
  <c r="Q16" i="1"/>
  <c r="P16" i="1"/>
  <c r="O16" i="1"/>
  <c r="M16" i="1"/>
  <c r="K16" i="1"/>
  <c r="N16" i="1" s="1"/>
  <c r="Q15" i="1"/>
  <c r="P15" i="1"/>
  <c r="M15" i="1"/>
  <c r="K15" i="1"/>
  <c r="L15" i="1" s="1"/>
  <c r="Q14" i="1"/>
  <c r="P14" i="1"/>
  <c r="O14" i="1"/>
  <c r="M14" i="1"/>
  <c r="L14" i="1"/>
  <c r="K14" i="1"/>
  <c r="R14" i="1" s="1"/>
  <c r="Q13" i="1"/>
  <c r="P13" i="1"/>
  <c r="O13" i="1"/>
  <c r="M13" i="1"/>
  <c r="K13" i="1"/>
  <c r="N13" i="1" s="1"/>
  <c r="Q12" i="1"/>
  <c r="P12" i="1"/>
  <c r="M12" i="1"/>
  <c r="K12" i="1"/>
  <c r="L12" i="1" s="1"/>
  <c r="Q11" i="1"/>
  <c r="P11" i="1"/>
  <c r="O11" i="1"/>
  <c r="M11" i="1"/>
  <c r="L11" i="1"/>
  <c r="K11" i="1"/>
  <c r="R11" i="1" s="1"/>
  <c r="Q10" i="1"/>
  <c r="P10" i="1"/>
  <c r="O10" i="1"/>
  <c r="M10" i="1"/>
  <c r="K10" i="1"/>
  <c r="N10" i="1" s="1"/>
  <c r="Q9" i="1"/>
  <c r="P9" i="1"/>
  <c r="M9" i="1"/>
  <c r="K9" i="1"/>
  <c r="L9" i="1" s="1"/>
  <c r="Q8" i="1"/>
  <c r="P8" i="1"/>
  <c r="O8" i="1"/>
  <c r="M8" i="1"/>
  <c r="L8" i="1"/>
  <c r="K8" i="1"/>
  <c r="R8" i="1" s="1"/>
  <c r="Q7" i="1"/>
  <c r="P7" i="1"/>
  <c r="M7" i="1"/>
  <c r="K7" i="1"/>
  <c r="O7" i="1" s="1"/>
  <c r="Q6" i="1"/>
  <c r="P6" i="1"/>
  <c r="M6" i="1"/>
  <c r="K6" i="1"/>
  <c r="L6" i="1" s="1"/>
  <c r="Q5" i="1"/>
  <c r="P5" i="1"/>
  <c r="O5" i="1"/>
  <c r="M5" i="1"/>
  <c r="L5" i="1"/>
  <c r="K5" i="1"/>
  <c r="R5" i="1" s="1"/>
  <c r="Q4" i="1"/>
  <c r="P4" i="1"/>
  <c r="M4" i="1"/>
  <c r="K4" i="1"/>
  <c r="O4" i="1" s="1"/>
  <c r="Q3" i="1"/>
  <c r="P3" i="1"/>
  <c r="M3" i="1"/>
  <c r="K3" i="1"/>
  <c r="L3" i="1" s="1"/>
  <c r="Q2" i="1"/>
  <c r="Q22" i="1" s="1"/>
  <c r="P2" i="1"/>
  <c r="P22" i="1" s="1"/>
  <c r="O2" i="1"/>
  <c r="M2" i="1"/>
  <c r="L2" i="1"/>
  <c r="K2" i="1"/>
  <c r="R2" i="1" s="1"/>
  <c r="N3" i="1" l="1"/>
  <c r="R4" i="1"/>
  <c r="N6" i="1"/>
  <c r="R7" i="1"/>
  <c r="N9" i="1"/>
  <c r="R10" i="1"/>
  <c r="N12" i="1"/>
  <c r="R13" i="1"/>
  <c r="N15" i="1"/>
  <c r="R16" i="1"/>
  <c r="N18" i="1"/>
  <c r="R19" i="1"/>
  <c r="N21" i="1"/>
  <c r="O3" i="1"/>
  <c r="O6" i="1"/>
  <c r="O9" i="1"/>
  <c r="O12" i="1"/>
  <c r="O15" i="1"/>
  <c r="O18" i="1"/>
  <c r="O21" i="1"/>
  <c r="N2" i="1"/>
  <c r="R3" i="1"/>
  <c r="R22" i="1" s="1"/>
  <c r="N5" i="1"/>
  <c r="R6" i="1"/>
  <c r="N8" i="1"/>
  <c r="R9" i="1"/>
  <c r="N11" i="1"/>
  <c r="R12" i="1"/>
  <c r="N14" i="1"/>
  <c r="R15" i="1"/>
  <c r="N17" i="1"/>
  <c r="R18" i="1"/>
  <c r="N20" i="1"/>
  <c r="R21" i="1"/>
  <c r="O17" i="1"/>
  <c r="O20" i="1"/>
  <c r="L4" i="1"/>
  <c r="L22" i="1" s="1"/>
  <c r="L7" i="1"/>
  <c r="L10" i="1"/>
  <c r="L13" i="1"/>
  <c r="L16" i="1"/>
  <c r="L19" i="1"/>
  <c r="K22" i="1"/>
  <c r="N4" i="1"/>
  <c r="N7" i="1"/>
</calcChain>
</file>

<file path=xl/sharedStrings.xml><?xml version="1.0" encoding="utf-8"?>
<sst xmlns="http://schemas.openxmlformats.org/spreadsheetml/2006/main" count="11224" uniqueCount="3940">
  <si>
    <t>Final Rank</t>
  </si>
  <si>
    <t>Startup</t>
  </si>
  <si>
    <t>Category</t>
  </si>
  <si>
    <t>Founded</t>
  </si>
  <si>
    <t>HQ</t>
  </si>
  <si>
    <t>Total funding (USD M)</t>
  </si>
  <si>
    <t>Employees</t>
  </si>
  <si>
    <t>WIPO query used</t>
  </si>
  <si>
    <t>Result count on WIPO page</t>
  </si>
  <si>
    <t>Rows downloaded</t>
  </si>
  <si>
    <t>Matched patent records</t>
  </si>
  <si>
    <t>Rows rejected (unrelated applicant)</t>
  </si>
  <si>
    <t>Unique publication numbers</t>
  </si>
  <si>
    <t>First publication year</t>
  </si>
  <si>
    <t>Last publication year</t>
  </si>
  <si>
    <t>Records: IN office</t>
  </si>
  <si>
    <t>Records: WO (PCT)</t>
  </si>
  <si>
    <t>Records: other offices</t>
  </si>
  <si>
    <t>Search outcome / notes</t>
  </si>
  <si>
    <t>Ola Electric</t>
  </si>
  <si>
    <t>EV &amp; charging</t>
  </si>
  <si>
    <t>Bengaluru</t>
  </si>
  <si>
    <t>PA:("Ola Electric")</t>
  </si>
  <si>
    <t>Records found and matched.</t>
  </si>
  <si>
    <t>ACME Solar</t>
  </si>
  <si>
    <t>Solar &amp; clean energy</t>
  </si>
  <si>
    <t>Gurugram (verify)</t>
  </si>
  <si>
    <t>PA:("ACME Solar Holdings Ltd"); PA:("ACME Group")</t>
  </si>
  <si>
    <t>0 relevant results. Group query returned US firms (fire suppression etc.). Try PA:("ACME Solar") once if not done.</t>
  </si>
  <si>
    <t>Ather Energy</t>
  </si>
  <si>
    <t>PA:("Ather Energy")</t>
  </si>
  <si>
    <t>Euler Motors</t>
  </si>
  <si>
    <t>New Delhi</t>
  </si>
  <si>
    <t>PA:("Euler Motors")</t>
  </si>
  <si>
    <t>0 results. Valid zero; confirm spelling Euler and any variant tried.</t>
  </si>
  <si>
    <t>Battery Smart</t>
  </si>
  <si>
    <t>PA:("Battery Smart")</t>
  </si>
  <si>
    <t xml:space="preserve">PA:(Battery Smart), which gave 38 unrelated hits, and PA:("Battery Smart"), </t>
  </si>
  <si>
    <t>Simple Energy</t>
  </si>
  <si>
    <t>PA:("Simple Energy"); PA:("Simple Energy Private Limited")</t>
  </si>
  <si>
    <t>PA:("Simple Energy") with 12 results, all unrelated (a UK and a US company with the same name), and PA:("Simple Energy Private Limited") with 0 results
Date: 19.10.2026</t>
  </si>
  <si>
    <t>River</t>
  </si>
  <si>
    <t>PA:("River mobility")</t>
  </si>
  <si>
    <t>SolarSquare</t>
  </si>
  <si>
    <t>Mumbai</t>
  </si>
  <si>
    <t>PA:("SolarSquare");PA:("Solar Square") and PA:("SolarSquare Energy")</t>
  </si>
  <si>
    <t>PA:("SolarSquare"), PA:("Solar Square") and PA:("SolarSquare Energy")</t>
  </si>
  <si>
    <t>Bounce</t>
  </si>
  <si>
    <t>PA:("Bounce")</t>
  </si>
  <si>
    <t>PA:("Bounce") with 176 unrelated hits, plus the three variants above</t>
  </si>
  <si>
    <t>SUN Mobility</t>
  </si>
  <si>
    <t>PA:("SUN Mobility")</t>
  </si>
  <si>
    <t>Ultraviolette Automotive</t>
  </si>
  <si>
    <t>PA:("Ultraviolette Automotive")</t>
  </si>
  <si>
    <t>Agratas</t>
  </si>
  <si>
    <t>Energy storage</t>
  </si>
  <si>
    <t>Bengaluru (verify)</t>
  </si>
  <si>
    <t>PA:("Agratas"); PA:("Agratas Energy Storage")</t>
  </si>
  <si>
    <t>founded 2023, so filings may not be published yet; any filings may also sit under a Tata group entity</t>
  </si>
  <si>
    <t>EKA Mobility</t>
  </si>
  <si>
    <t>Pune</t>
  </si>
  <si>
    <t>PA:("EKA Mobility"); PA:("Eka Mobility Private Limited")</t>
  </si>
  <si>
    <t>founded 2022, so filings may not be published yet; filings may sit under a parent-group entity</t>
  </si>
  <si>
    <t>EV Co</t>
  </si>
  <si>
    <t>PA:("EV Co")</t>
  </si>
  <si>
    <t>the legal entity is unclear, since the sheet entry appears to be a corporate EV subsidiary (inferred, unverified). Name too generic to search reliably, so 0 relevant results.</t>
  </si>
  <si>
    <t>Matter</t>
  </si>
  <si>
    <t>Ahmedabad</t>
  </si>
  <si>
    <t>PA:("Matter Motor Works")</t>
  </si>
  <si>
    <t>Ecozen Solutions</t>
  </si>
  <si>
    <t>PA:("Ecozen Solutions")</t>
  </si>
  <si>
    <t>Smartron</t>
  </si>
  <si>
    <t>Hyderabad</t>
  </si>
  <si>
    <t>PA:("Smartron India")</t>
  </si>
  <si>
    <t>Carbon Clean Solutions</t>
  </si>
  <si>
    <t>Carbon &amp; emissions</t>
  </si>
  <si>
    <t>London, UK (Mumbai operations)</t>
  </si>
  <si>
    <t>PA:("Carbon Clean Solutions")</t>
  </si>
  <si>
    <t>Chakr Innovation</t>
  </si>
  <si>
    <t>PA:("Chakr Innovation")</t>
  </si>
  <si>
    <t>ChargeZone</t>
  </si>
  <si>
    <t>Vadodara</t>
  </si>
  <si>
    <t>PA:("ChargeZone"); PA:("Charge Zone")</t>
  </si>
  <si>
    <t xml:space="preserve"> a charging-network operator that may file few patents, or file under a different legal entity</t>
  </si>
  <si>
    <t>Total</t>
  </si>
  <si>
    <t>Source file</t>
  </si>
  <si>
    <t>Query</t>
  </si>
  <si>
    <t>Application Id</t>
  </si>
  <si>
    <t>Application Number</t>
  </si>
  <si>
    <t>Application Date</t>
  </si>
  <si>
    <t>Publication Number</t>
  </si>
  <si>
    <t>Publication Date</t>
  </si>
  <si>
    <t>Publication year</t>
  </si>
  <si>
    <t>Country</t>
  </si>
  <si>
    <t>Title</t>
  </si>
  <si>
    <t>IPC</t>
  </si>
  <si>
    <t>Applicants (as in WIPO)</t>
  </si>
  <si>
    <t>Matched party</t>
  </si>
  <si>
    <t>Match method</t>
  </si>
  <si>
    <t>Match score</t>
  </si>
  <si>
    <t>Other parties on filing</t>
  </si>
  <si>
    <t>Review flag</t>
  </si>
  <si>
    <t>Export time</t>
  </si>
  <si>
    <t>01_Ola_Electric_raw.xls</t>
  </si>
  <si>
    <t>US316418454</t>
  </si>
  <si>
    <t>16935765</t>
  </si>
  <si>
    <t>22.07.2020</t>
  </si>
  <si>
    <t>20210027334</t>
  </si>
  <si>
    <t>28.01.2021</t>
  </si>
  <si>
    <t>US</t>
  </si>
  <si>
    <t>Vehicle Communication System</t>
  </si>
  <si>
    <t>G06Q 30/02; H04W 4/021; H04W 4/48; H04W 4/90; G06Q 50/30; G09F 21/04; G09F 27/00</t>
  </si>
  <si>
    <t>OLA ELECTRIC MOBILITY PRIVATE LIMITED</t>
  </si>
  <si>
    <t>exact-normalised</t>
  </si>
  <si>
    <t>19.10.2026 06:24:45</t>
  </si>
  <si>
    <t>US316418529</t>
  </si>
  <si>
    <t>16935524</t>
  </si>
  <si>
    <t>20210027409</t>
  </si>
  <si>
    <t>Methods and Systems for Facilitating Safety and Security of Users</t>
  </si>
  <si>
    <t>G06Q 50/26; G06Q 50/00; G06Q 50/30; G06Q 30/02; H04W 4/90; H04W 4/40; G10L 15/08; G10L 15/22; H04N 5/232; B60R 21/01</t>
  </si>
  <si>
    <t>US316418332</t>
  </si>
  <si>
    <t>16934311</t>
  </si>
  <si>
    <t>21.07.2020</t>
  </si>
  <si>
    <t>20210027212</t>
  </si>
  <si>
    <t>OFFLINE TO ONLINE VEHICLE BOOKING</t>
  </si>
  <si>
    <t>G06Q 10/02; G06Q 50/30; G06K 7/10; G06K 19/06</t>
  </si>
  <si>
    <t>IN317292645</t>
  </si>
  <si>
    <t>201941029816</t>
  </si>
  <si>
    <t>23.07.2019</t>
  </si>
  <si>
    <t>29.01.2021</t>
  </si>
  <si>
    <t>IN</t>
  </si>
  <si>
    <t>VEHICLE COMMUNICATION SYSTEM</t>
  </si>
  <si>
    <t>G06Q /; G06F /; H04N /; A42B /; H04B /</t>
  </si>
  <si>
    <t>IN317292293</t>
  </si>
  <si>
    <t>201941029814</t>
  </si>
  <si>
    <t>METHODS AND SYSTEMS FOR FACILITATING SAFETY AND SECURITY OF USERS</t>
  </si>
  <si>
    <t>G08B /; H04L /; G08B /; G08G /; G06Q /</t>
  </si>
  <si>
    <t>IN317292292</t>
  </si>
  <si>
    <t>201941029811</t>
  </si>
  <si>
    <t>G06Q /; H04W /; G06Q /; H04W /; H04W /</t>
  </si>
  <si>
    <t>US320887047</t>
  </si>
  <si>
    <t>17027163</t>
  </si>
  <si>
    <t>21.09.2020</t>
  </si>
  <si>
    <t>20210086778</t>
  </si>
  <si>
    <t>25.03.2021</t>
  </si>
  <si>
    <t>IN-VEHICLE EMERGENCY DETECTION AND RESPONSE HANDLING</t>
  </si>
  <si>
    <t>B60W 40/08; B60W 60/00; B60Q 1/52; B60Q 1/50; G10L 15/22; G06F 3/01; A61B 5/00; H04W 4/90</t>
  </si>
  <si>
    <t>IN334771478</t>
  </si>
  <si>
    <t>201941029815</t>
  </si>
  <si>
    <t>23.09.2019</t>
  </si>
  <si>
    <t>16.07.2021</t>
  </si>
  <si>
    <t>METHODS AND SYSTEMS FOR DETECTING AND COMMUNICATING EMERGENCY ALERTS TO ENTITIES</t>
  </si>
  <si>
    <t>H04W /; G08B /; H04W /; G08G /; G08B /</t>
  </si>
  <si>
    <t>WO2021150108</t>
  </si>
  <si>
    <t>PCT/NL2021/050034</t>
  </si>
  <si>
    <t>20.01.2021</t>
  </si>
  <si>
    <t>WO/2021/150108</t>
  </si>
  <si>
    <t>29.07.2021</t>
  </si>
  <si>
    <t>WO</t>
  </si>
  <si>
    <t>VEHICLE COMPRISING A BUDDY SPACE</t>
  </si>
  <si>
    <t>B62J 9/14; B62J 43/16; B62J 43/23; B62K 19/16; B62K 19/46</t>
  </si>
  <si>
    <t>OLA ELECTRIC MOBILITY B.V.</t>
  </si>
  <si>
    <t>WO2021150110</t>
  </si>
  <si>
    <t>PCT/NL2021/050036</t>
  </si>
  <si>
    <t>21.01.2021</t>
  </si>
  <si>
    <t>WO/2021/150110</t>
  </si>
  <si>
    <t>BATTERY SYSTEM AND BATTERY MANAGEMENT METHOD</t>
  </si>
  <si>
    <t>H02J 7/00; B60L 58/00; H01M 10/44</t>
  </si>
  <si>
    <t>US338557605</t>
  </si>
  <si>
    <t>16910784</t>
  </si>
  <si>
    <t>24.06.2020</t>
  </si>
  <si>
    <t>20210309121</t>
  </si>
  <si>
    <t>07.10.2021</t>
  </si>
  <si>
    <t>Battery swapping to manage in-vehicle battery communication</t>
  </si>
  <si>
    <t>B60L 58/12; B60L 58/18; B60S 5/06; H01M 10/46; B60L 53/30</t>
  </si>
  <si>
    <t>US343549366</t>
  </si>
  <si>
    <t>17185607</t>
  </si>
  <si>
    <t>25.02.2021</t>
  </si>
  <si>
    <t>20210377030</t>
  </si>
  <si>
    <t>02.12.2021</t>
  </si>
  <si>
    <t>Offline authentication of batteries</t>
  </si>
  <si>
    <t>H04L 9/32; H01M 10/48; H04L 12/40</t>
  </si>
  <si>
    <t>OLA ELECTRIC MOBILITY LIMITED</t>
  </si>
  <si>
    <t>IN346036686</t>
  </si>
  <si>
    <t>202041022977</t>
  </si>
  <si>
    <t>01.06.2020</t>
  </si>
  <si>
    <t>03.12.2021</t>
  </si>
  <si>
    <t>OFFLINE AUTHENTICATION OF BATTERIES</t>
  </si>
  <si>
    <t>H04L /; H04L /; H04W /; H04L /; B60K /</t>
  </si>
  <si>
    <t>WO2021245698</t>
  </si>
  <si>
    <t>PCT/IN2021/050534</t>
  </si>
  <si>
    <t>01.06.2021</t>
  </si>
  <si>
    <t>WO/2021/245698</t>
  </si>
  <si>
    <t>09.12.2021</t>
  </si>
  <si>
    <t>G06F 21/44; B60L 58/10; G06Q 50/04</t>
  </si>
  <si>
    <t>US345567075</t>
  </si>
  <si>
    <t>17185677</t>
  </si>
  <si>
    <t>20210399566</t>
  </si>
  <si>
    <t>23.12.2021</t>
  </si>
  <si>
    <t>Offline mutual authentication for battery swapping</t>
  </si>
  <si>
    <t>H02J 7/00; H04L 9/32; B60L 53/65; B60L 53/68; B60L 53/80; H04L 9/40</t>
  </si>
  <si>
    <t>IN346042710</t>
  </si>
  <si>
    <t>202041026141</t>
  </si>
  <si>
    <t>22.06.2020</t>
  </si>
  <si>
    <t>24.12.2021</t>
  </si>
  <si>
    <t>OFFLINE MUTUAL AUTHENTICATION FOR BATTERY SWAPPING</t>
  </si>
  <si>
    <t>H04L /; H04L /; H04W /; H02J /; G06F /</t>
  </si>
  <si>
    <t>WO2021260720</t>
  </si>
  <si>
    <t>PCT/IN2021/050582</t>
  </si>
  <si>
    <t>15.06.2021</t>
  </si>
  <si>
    <t>WO/2021/260720</t>
  </si>
  <si>
    <t>30.12.2021</t>
  </si>
  <si>
    <t>G06F 21/44; B60L 58/10</t>
  </si>
  <si>
    <t>IN360723403</t>
  </si>
  <si>
    <t>202141056216</t>
  </si>
  <si>
    <t>06.05.2022</t>
  </si>
  <si>
    <t>UNIFIED BRAKING SYSTEM FOR VEHICLES</t>
  </si>
  <si>
    <t>F16H /; B60T /; B62L /; B60T /; B60T /</t>
  </si>
  <si>
    <t>IN360722902</t>
  </si>
  <si>
    <t>202141059302</t>
  </si>
  <si>
    <t>20.12.2021</t>
  </si>
  <si>
    <t>STEERING LOCK SYSTEM FOR VEHICLES</t>
  </si>
  <si>
    <t>B60R /; B60R /; B60Q /; B62D /; B62D /</t>
  </si>
  <si>
    <t>IN360723826</t>
  </si>
  <si>
    <t>202141033087</t>
  </si>
  <si>
    <t>23.07.2021</t>
  </si>
  <si>
    <t>METHOD AND SYSTEM FOR ENHANCING DRIVING EXPERIENCE OF VEHICLES</t>
  </si>
  <si>
    <t>G07C /; G07C /; H05B /; B60W /; B60W /</t>
  </si>
  <si>
    <t>IN360723486</t>
  </si>
  <si>
    <t>202241001338</t>
  </si>
  <si>
    <t>11.01.2022</t>
  </si>
  <si>
    <t>DYNAMIC LANE ADJUSTMENT FOR TWO-WHEELED VEHICLES</t>
  </si>
  <si>
    <t>G06K /; G06T /; G06T /; G06K /; H04N /</t>
  </si>
  <si>
    <t>IN360723827</t>
  </si>
  <si>
    <t>202141033688</t>
  </si>
  <si>
    <t>27.07.2021</t>
  </si>
  <si>
    <t>AUTOMATIC LOCKING AND UNLOCKING OF VEHICLES</t>
  </si>
  <si>
    <t>G07C /; B60R /; H04W /; G06F /; G01M /</t>
  </si>
  <si>
    <t>IN360723399</t>
  </si>
  <si>
    <t>202141031765</t>
  </si>
  <si>
    <t>15.07.2021</t>
  </si>
  <si>
    <t>PREDICTION OF DRIVING RANGE OF VEHICLES</t>
  </si>
  <si>
    <t>G07C /; B61L /; B60W /; G06Q /; B60L /</t>
  </si>
  <si>
    <t>IN360723400</t>
  </si>
  <si>
    <t>202141045911</t>
  </si>
  <si>
    <t>08.10.2021</t>
  </si>
  <si>
    <t>SMART CHARGING RECOMMENDATIONS FOR ELECTRIC VEHICLES</t>
  </si>
  <si>
    <t>H04L /; H04M /; G07C /; B60W /; G06Q /</t>
  </si>
  <si>
    <t>IN360723872</t>
  </si>
  <si>
    <t>202241019333</t>
  </si>
  <si>
    <t>31.03.2022</t>
  </si>
  <si>
    <t>POROUS SINGLE CRYSTAL OF METAL OXIDE AND PREPARATION METHODS THEREOF</t>
  </si>
  <si>
    <t>H01M /; H01M /; H01M /; H01M /; H01M /</t>
  </si>
  <si>
    <t>IN360723873</t>
  </si>
  <si>
    <t>202241019383</t>
  </si>
  <si>
    <t>'PREPARATION METHODS FOR POROUS SINGLE CRYSTAL OF METAL OXIDE'</t>
  </si>
  <si>
    <t>H01M /; H01M /; H01M /; A23L /; C30B /</t>
  </si>
  <si>
    <t>IN360723401</t>
  </si>
  <si>
    <t>202141045914</t>
  </si>
  <si>
    <t>DAMAGE ASSESSMENT FOR VEHICLES</t>
  </si>
  <si>
    <t>G06K /; G06F /; G02B /; G06T /; G06K /</t>
  </si>
  <si>
    <t>IN360723828</t>
  </si>
  <si>
    <t>202141051141</t>
  </si>
  <si>
    <t>08.11.2021</t>
  </si>
  <si>
    <t>VEHICLE DRIVING ASSISTANCE METHOD AND SYSTEM</t>
  </si>
  <si>
    <t>G08G /; G08G /; G06N /; G05D /; G08G /</t>
  </si>
  <si>
    <t>IN375169954</t>
  </si>
  <si>
    <t>202241044017</t>
  </si>
  <si>
    <t>01.08.2022</t>
  </si>
  <si>
    <t>16.09.2022</t>
  </si>
  <si>
    <t>Cylindrical Secondary Battery</t>
  </si>
  <si>
    <t>IN375172021</t>
  </si>
  <si>
    <t>202241051949</t>
  </si>
  <si>
    <t>12.09.2022</t>
  </si>
  <si>
    <t>MODULAR SWING ARM</t>
  </si>
  <si>
    <t>F16M /; H01F /; F16D /; F16D /; A63B /</t>
  </si>
  <si>
    <t>IN376951527</t>
  </si>
  <si>
    <t>202241054116</t>
  </si>
  <si>
    <t>21.09.2022</t>
  </si>
  <si>
    <t>14.10.2022</t>
  </si>
  <si>
    <t>METHOD AND SYSTEM TO CONTROL MISFIRING OF MOTOR</t>
  </si>
  <si>
    <t>G01M /; H02P /; B63H /; H02P /; F16K /</t>
  </si>
  <si>
    <t>IN377285220</t>
  </si>
  <si>
    <t>202241058307</t>
  </si>
  <si>
    <t>12.10.2022</t>
  </si>
  <si>
    <t>21.10.2022</t>
  </si>
  <si>
    <t>SPIKE MANAGEMENT SYSTEM AND METHOD</t>
  </si>
  <si>
    <t>G01R /; G10L /; G11C /; G01R /; G10L /</t>
  </si>
  <si>
    <t>IN377285252</t>
  </si>
  <si>
    <t>202241059330</t>
  </si>
  <si>
    <t>17.10.2022</t>
  </si>
  <si>
    <t>System and method to estimate state of health of battery</t>
  </si>
  <si>
    <t>G01R /; G01R /; B60L /; G01R /; G01R /</t>
  </si>
  <si>
    <t>OLA ELECTRIC  MOBILITY PRIVATE  LIMITED</t>
  </si>
  <si>
    <t>IN377633906</t>
  </si>
  <si>
    <t>202241059876</t>
  </si>
  <si>
    <t>19.10.2022</t>
  </si>
  <si>
    <t>28.10.2022</t>
  </si>
  <si>
    <t>VEHICLE LIGHT ASSEMBLY</t>
  </si>
  <si>
    <t>B60Q /; F21S /; B60Q /; F21Y /; G08G /</t>
  </si>
  <si>
    <t>IN377633907</t>
  </si>
  <si>
    <t>202241059877</t>
  </si>
  <si>
    <t>VEHICLE LIGHT ASSEMBLY WITH AUDIO SYNCHRONIZATION CAPABILITY</t>
  </si>
  <si>
    <t>B60Q /; H04N /; B60Q /; F21S /; B60Q /</t>
  </si>
  <si>
    <t>IN378654626</t>
  </si>
  <si>
    <t>202241063766</t>
  </si>
  <si>
    <t>08.11.2022</t>
  </si>
  <si>
    <t>11.11.2022</t>
  </si>
  <si>
    <t>FIRE EXTINGUISHING SYSTEM TO PREVENT THERMAL PROPAGATION IN BATTERY PACKS</t>
  </si>
  <si>
    <t>A62C /; H01M /; H01M /; H01M /; H01M /</t>
  </si>
  <si>
    <t>Ola Electric Mobility Private Limited</t>
  </si>
  <si>
    <t>IN379761974</t>
  </si>
  <si>
    <t>202241063434</t>
  </si>
  <si>
    <t>07.11.2022</t>
  </si>
  <si>
    <t>18.11.2022</t>
  </si>
  <si>
    <t>BATTERY PACK HEATING</t>
  </si>
  <si>
    <t>H01M /; H01M /; B60L /; B60K /; H01M /</t>
  </si>
  <si>
    <t>IN379761973</t>
  </si>
  <si>
    <t>202241063433</t>
  </si>
  <si>
    <t>IMPLEMENTING A HOLDING STATE IN A VEHICLE</t>
  </si>
  <si>
    <t>H03F /; B60W /; B60W /; G11C /; B60W /</t>
  </si>
  <si>
    <t>IN379761972</t>
  </si>
  <si>
    <t>202241063432</t>
  </si>
  <si>
    <t>HILL HOLD MODE IN A VEHICLE</t>
  </si>
  <si>
    <t>B60T /; H02J /; B60L /; B60W /; G07C /</t>
  </si>
  <si>
    <t>IN379761975</t>
  </si>
  <si>
    <t>202241063435</t>
  </si>
  <si>
    <t>G11C /; B60T /; B65G /; B60W /; B60W /</t>
  </si>
  <si>
    <t>IN379761953</t>
  </si>
  <si>
    <t>202241062961</t>
  </si>
  <si>
    <t>03.11.2022</t>
  </si>
  <si>
    <t>FIRE-RESISTANT BATTERY MODULES</t>
  </si>
  <si>
    <t>IN380203537</t>
  </si>
  <si>
    <t>202241065661</t>
  </si>
  <si>
    <t>16.11.2022</t>
  </si>
  <si>
    <t>25.11.2022</t>
  </si>
  <si>
    <t>LOCKING THE ROTOR BY SHORTING THE PHASE CABLES</t>
  </si>
  <si>
    <t>B60L /; B60H /; H02P /; B62D /; H02P /</t>
  </si>
  <si>
    <t>IN380203487</t>
  </si>
  <si>
    <t>202241064049</t>
  </si>
  <si>
    <t>09.11.2022</t>
  </si>
  <si>
    <t>CONTROLLING TEMPERATURE OF MOTOR AND MOTOR CONTROLLER UNIT IN ELECTRIC VEHICLES</t>
  </si>
  <si>
    <t>B60H /; H01M /; B05B /; B67D /; B60L /</t>
  </si>
  <si>
    <t>IN380204005</t>
  </si>
  <si>
    <t>202241064652</t>
  </si>
  <si>
    <t>Method and system for battery health management</t>
  </si>
  <si>
    <t>G01R /; H02J /; G01R /; H01M /; G01R /</t>
  </si>
  <si>
    <t>EP380147327</t>
  </si>
  <si>
    <t>21702116</t>
  </si>
  <si>
    <t>4093661</t>
  </si>
  <si>
    <t>30.11.2022</t>
  </si>
  <si>
    <t>EP</t>
  </si>
  <si>
    <t>OLA ELECTRIC MOBILITY B V</t>
  </si>
  <si>
    <t>EP380148083</t>
  </si>
  <si>
    <t>21702117</t>
  </si>
  <si>
    <t>4094341</t>
  </si>
  <si>
    <t>H02J 7/00; B60L 58/21; H01M 10/42; H01M 10/44</t>
  </si>
  <si>
    <t>IN380605419</t>
  </si>
  <si>
    <t>202227046557</t>
  </si>
  <si>
    <t>16.08.2022</t>
  </si>
  <si>
    <t>02.12.2022</t>
  </si>
  <si>
    <t>B60R /; B60R /; G06T /; B60N /; B60L /</t>
  </si>
  <si>
    <t>IN380605996</t>
  </si>
  <si>
    <t>202241067958</t>
  </si>
  <si>
    <t>BRAKING SYSTEMS FOR ELECTRIC TWO-WHEELED VEHICLES</t>
  </si>
  <si>
    <t>B62L /; B60T /; B62L /; B62K /; B62K /</t>
  </si>
  <si>
    <t>IN380606002</t>
  </si>
  <si>
    <t>202241068434</t>
  </si>
  <si>
    <t>28.11.2022</t>
  </si>
  <si>
    <t>HAPTIC FEEDBACK IN A VEHICLE</t>
  </si>
  <si>
    <t>G06F /; G08B /; H04B /; G08G /; G07C /</t>
  </si>
  <si>
    <t>IN381054292</t>
  </si>
  <si>
    <t>202141055967</t>
  </si>
  <si>
    <t>09.12.2022</t>
  </si>
  <si>
    <t>SOLID ELECTROLYTE INTERPHASE (SEI) AND A METHOD FOR ITS PREPARATION</t>
  </si>
  <si>
    <t>IN381055487</t>
  </si>
  <si>
    <t>202241069963</t>
  </si>
  <si>
    <t>05.12.2022</t>
  </si>
  <si>
    <t>A VENTING MANIFOLD FOR A BATTERY PACK</t>
  </si>
  <si>
    <t>H01M /; H02J /; A23L /; H04W /; H01L /</t>
  </si>
  <si>
    <t>IN381055025</t>
  </si>
  <si>
    <t>202241069962</t>
  </si>
  <si>
    <t>“A CELL HOLDER HAVING INTEGRATED VENTING CHANNELS AND A BATTERY PACK HAVING THE SAME”</t>
  </si>
  <si>
    <t>H01M /; H01M /; H01M /; H04W /; H01L /</t>
  </si>
  <si>
    <t>IN389950553</t>
  </si>
  <si>
    <t>202141058226</t>
  </si>
  <si>
    <t>14.12.2021</t>
  </si>
  <si>
    <t>23.12.2022</t>
  </si>
  <si>
    <t>BATTERY PACKS OF VEHICLES</t>
  </si>
  <si>
    <t>IN389952680</t>
  </si>
  <si>
    <t>202241068793</t>
  </si>
  <si>
    <t>29.11.2022</t>
  </si>
  <si>
    <t>DUAL MOTOR CONFIGURATION FOR ELECTRIC VEHICLES</t>
  </si>
  <si>
    <t>B60K /; B60K /; B60W /; H04W /; B60L /</t>
  </si>
  <si>
    <t>IN389950799</t>
  </si>
  <si>
    <t>202241071394</t>
  </si>
  <si>
    <t>10.12.2022</t>
  </si>
  <si>
    <t>A POWER TRANSMISSION SYSTEM FOR A VEHICLE</t>
  </si>
  <si>
    <t>F16H /; F16H /; H02P /; F16G /; B60K /</t>
  </si>
  <si>
    <t>IN389953197</t>
  </si>
  <si>
    <t>202241071170</t>
  </si>
  <si>
    <t>30.12.2022</t>
  </si>
  <si>
    <t>A SYSTEM FOR AUTOMATICALLY DEACTIVATING AN ACTIVATED CRUISE CONTROL MODE OF A VEHICLE</t>
  </si>
  <si>
    <t>B60W /; B60K /; B60W /; A61N /; B60W /</t>
  </si>
  <si>
    <t>IN389953680</t>
  </si>
  <si>
    <t>202241065232</t>
  </si>
  <si>
    <t>14.11.2022</t>
  </si>
  <si>
    <t>System and method to provide electronic load with uniform regeneration current</t>
  </si>
  <si>
    <t>B60W /; B60W /; B60W /; B60L /; B60L /</t>
  </si>
  <si>
    <t>IN389954451</t>
  </si>
  <si>
    <t>202141059697</t>
  </si>
  <si>
    <t>21.12.2021</t>
  </si>
  <si>
    <t>AUTO LOCK SYSTEM OF VEHICLES</t>
  </si>
  <si>
    <t>G07C /; B60R /; H01R /; B60N /; A61C /</t>
  </si>
  <si>
    <t>IN389951480</t>
  </si>
  <si>
    <t>202141061141</t>
  </si>
  <si>
    <t>28.12.2021</t>
  </si>
  <si>
    <t>AN ANODE FOR A RECHARGEABLE BATTERY</t>
  </si>
  <si>
    <t>H01M /; H05K /; H05K /; B32B /; B01J /</t>
  </si>
  <si>
    <t>IN389953750</t>
  </si>
  <si>
    <t>202241073248</t>
  </si>
  <si>
    <t>16.12.2022</t>
  </si>
  <si>
    <t>BATTERY MODULE COMPRISING BUS BAR ASSEMBLY, AND BATTERY PACK COMPRISING SAME</t>
  </si>
  <si>
    <t>IN389951734</t>
  </si>
  <si>
    <t>202241072288</t>
  </si>
  <si>
    <t>14.12.2022</t>
  </si>
  <si>
    <t>METHOD FOR IDENTIFYING A DEFECTIVE LI-ION CELL</t>
  </si>
  <si>
    <t>H01M /; H01M /; H04N /; A61B /; H04M /</t>
  </si>
  <si>
    <t>IN389953198</t>
  </si>
  <si>
    <t>202241071171</t>
  </si>
  <si>
    <t>A SYSTEM FOR DELAYING BRAKING OF A VEHICLE</t>
  </si>
  <si>
    <t>A61N /; G07C /; H02J /; G06F /; G06F /</t>
  </si>
  <si>
    <t>IN389952180</t>
  </si>
  <si>
    <t>202241065235</t>
  </si>
  <si>
    <t>System and method to provide uniform regeneration current for one-pedal driving mode</t>
  </si>
  <si>
    <t>B60W /; B60L /; H01M /; B60L /; B60W /</t>
  </si>
  <si>
    <t>IN389953124</t>
  </si>
  <si>
    <t>202227047292</t>
  </si>
  <si>
    <t>19.08.2022</t>
  </si>
  <si>
    <t>IN389953253</t>
  </si>
  <si>
    <t>202241073649</t>
  </si>
  <si>
    <t>19.12.2022</t>
  </si>
  <si>
    <t>A MULTI-WAY TEMPERATURE-CONTROLLED SYSTEM  AND A METHOD THEREOF</t>
  </si>
  <si>
    <t>B01L /; C04B /; A47C /; F02D /; F25D /</t>
  </si>
  <si>
    <t>IN389953212</t>
  </si>
  <si>
    <t>202241072281</t>
  </si>
  <si>
    <t>SMART HELMET</t>
  </si>
  <si>
    <t>A42B /; G06Q /; H04W /; A61M /; H04W /</t>
  </si>
  <si>
    <t>IN389951702</t>
  </si>
  <si>
    <t>202241069752</t>
  </si>
  <si>
    <t>BATTERY TEMPERATURE MANAGEMENT</t>
  </si>
  <si>
    <t>H01M /; H01M /; H01M /; H02J /; H01M /</t>
  </si>
  <si>
    <t>IN389952198</t>
  </si>
  <si>
    <t>202241070242</t>
  </si>
  <si>
    <t>06.12.2022</t>
  </si>
  <si>
    <t>METHODS AND SYSTEMS TO PROVIDE AN ADAPTIVE POWER BOOST TO AN ELECTRIC VEHICLE</t>
  </si>
  <si>
    <t>A61B /; B60L /; B60L /; B60L /; H04R /</t>
  </si>
  <si>
    <t>IN389952691</t>
  </si>
  <si>
    <t>202241071249</t>
  </si>
  <si>
    <t>CONTROLLING A TRANSMISSION SYSTEM IN AN ELECTRIC VEHICLE</t>
  </si>
  <si>
    <t>B60K /; B60W /; F16H /; B60K /; B01D /</t>
  </si>
  <si>
    <t>IN389953707</t>
  </si>
  <si>
    <t>202241071966</t>
  </si>
  <si>
    <t>13.12.2022</t>
  </si>
  <si>
    <t>A SYSTEM AND A METHOD FOR PAIRING ELECTRONIC APPLIANCES AT HOME WITH A REGISTERED VEHICLE</t>
  </si>
  <si>
    <t>G06Q /; H04W /; G06Q /; H04L /; H04L /</t>
  </si>
  <si>
    <t>IN389952214</t>
  </si>
  <si>
    <t>202241071968</t>
  </si>
  <si>
    <t>"A SYSTEM AND A METHOD FOR OPERATING NOISE CANCELLING HELMET"</t>
  </si>
  <si>
    <t>G10K /; H04R /; H04R /; A42B /; G06N /</t>
  </si>
  <si>
    <t>IN389954261</t>
  </si>
  <si>
    <t>202241074249</t>
  </si>
  <si>
    <t>21.12.2022</t>
  </si>
  <si>
    <t>ELECTRIC STEERING COLUMN LOCK SYSTEM</t>
  </si>
  <si>
    <t>B60R /; B60R /; A61B /; A61M /; B62D /</t>
  </si>
  <si>
    <t>IN389952962</t>
  </si>
  <si>
    <t>202141052888</t>
  </si>
  <si>
    <t>17.11.2021</t>
  </si>
  <si>
    <t>METHOD AND SYSTEM TO FACILITATE NAVIGATION AND BEHAVIOR PLANNING BY AUTONOMOUS VEHICLES</t>
  </si>
  <si>
    <t>G05D /; G01C /; G06K /; G06K /; G05D /</t>
  </si>
  <si>
    <t>IN389952966</t>
  </si>
  <si>
    <t>202141061878</t>
  </si>
  <si>
    <t>A COMPOSITE ANODE PARTICULATE FOR A LITHIUM-ION BATTERY</t>
  </si>
  <si>
    <t>IN389953471</t>
  </si>
  <si>
    <t>202141059750</t>
  </si>
  <si>
    <t>G07C /; B60R /; H01R /; B60N /; B60N /</t>
  </si>
  <si>
    <t>IN414853633</t>
  </si>
  <si>
    <t>202141061909</t>
  </si>
  <si>
    <t>06.01.2023</t>
  </si>
  <si>
    <t>ANODE PARTICULATE FOR LITHIUM ION BATTERIES AND PREPARATION METHODSTHEREOF</t>
  </si>
  <si>
    <t>IN389963746</t>
  </si>
  <si>
    <t>202241076822</t>
  </si>
  <si>
    <t>29.12.2022</t>
  </si>
  <si>
    <t>13.01.2023</t>
  </si>
  <si>
    <t>A FACIAL RECOGNITION SYSTEM  FOR PREVENTING THE UNAUTHORIZED USAGE OF THE VEHICLE AND A METHOD THEREOF</t>
  </si>
  <si>
    <t>B60R /; B60W /; G06F /; G06Q /; G06F /</t>
  </si>
  <si>
    <t>IN389962292</t>
  </si>
  <si>
    <t>202241077188</t>
  </si>
  <si>
    <t>GENERATING A DRIVE CYCLE</t>
  </si>
  <si>
    <t>H01M /; G07C /; H02M /; H01M /; H04N /</t>
  </si>
  <si>
    <t>IN433666279</t>
  </si>
  <si>
    <t>202341003095</t>
  </si>
  <si>
    <t>16.01.2023</t>
  </si>
  <si>
    <t>20.01.2023</t>
  </si>
  <si>
    <t>SYSTEM AND METHOD FOR GENERATING A LOAD-BASED TORQUE PROFILE FOR DRIVING A VEHICLE</t>
  </si>
  <si>
    <t>B60W /; H02P /; H02P /; B25J /; B60W /</t>
  </si>
  <si>
    <t>IN391018067</t>
  </si>
  <si>
    <t>202241002713</t>
  </si>
  <si>
    <t>17.01.2022</t>
  </si>
  <si>
    <t>27.01.2023</t>
  </si>
  <si>
    <t>SOLID ELECTROLYTE MEMBRANE AND PREPARATION METHODS THEREOF</t>
  </si>
  <si>
    <t>H01M /; H01M /; C08J /; H01M /; H01M /</t>
  </si>
  <si>
    <t>IN391018068</t>
  </si>
  <si>
    <t>202241003109</t>
  </si>
  <si>
    <t>19.01.2022</t>
  </si>
  <si>
    <t>BATTERY PACK FOR VEHICLES</t>
  </si>
  <si>
    <t>H01M /; H01M /; H01M /; H01M /; B60L /</t>
  </si>
  <si>
    <t>WO2023007515</t>
  </si>
  <si>
    <t>PCT/IN2022/050675</t>
  </si>
  <si>
    <t>26.07.2022</t>
  </si>
  <si>
    <t>WO/2023/007515</t>
  </si>
  <si>
    <t>02.02.2023</t>
  </si>
  <si>
    <t>B60R 25/01; B60R 25/30; G07C 5/00</t>
  </si>
  <si>
    <t>OLA ELECTRIC MOBILITY PRIVATE LIMITED; AGGARWAL, Bhavish; MAJJI, Shravanthi; AGARWAL, Gaurav; JAIN, Nishit; JAYARAMAN, Vijayanand</t>
  </si>
  <si>
    <t>AGGARWAL, Bhavish; MAJJI, Shravanthi; AGARWAL, Gaurav; JAIN, Nishit; JAYARAMAN, Vijayanand</t>
  </si>
  <si>
    <t>other parties listed</t>
  </si>
  <si>
    <t>IN391899418</t>
  </si>
  <si>
    <t>202241006404</t>
  </si>
  <si>
    <t>07.02.2022</t>
  </si>
  <si>
    <t>10.02.2023</t>
  </si>
  <si>
    <t>CATHODE SLURRY FOR ALKALI-ION BATTERIES AND A METHOD FOR ITS PREPARATION</t>
  </si>
  <si>
    <t>IN392341047</t>
  </si>
  <si>
    <t>202141062206</t>
  </si>
  <si>
    <t>31.12.2021</t>
  </si>
  <si>
    <t>17.02.2023</t>
  </si>
  <si>
    <t>A61K /; B24B /; B29C /; H01M /; B29C /</t>
  </si>
  <si>
    <t>IN392341646</t>
  </si>
  <si>
    <t>202341007419</t>
  </si>
  <si>
    <t>06.02.2023</t>
  </si>
  <si>
    <t>A SYSTEM FOR SUPPLYING SUPPLEMENTARY ELECTRICAL ENERGY TO AN ELECTRIC VEHICLE AND A METHOD THEREOF</t>
  </si>
  <si>
    <t>B60K 6/28; B60L 50/40; B60L 50/60; B60L 53/00; B60L 53/20; H02J 7/00</t>
  </si>
  <si>
    <t>IN392341617</t>
  </si>
  <si>
    <t>202341002281</t>
  </si>
  <si>
    <t>11.01.2023</t>
  </si>
  <si>
    <t>A CONTROL UNIT ASSEMBLY</t>
  </si>
  <si>
    <t>B60R 16/02; H01R 13/52; H05K 5/06</t>
  </si>
  <si>
    <t>IN393021931</t>
  </si>
  <si>
    <t>202341006643</t>
  </si>
  <si>
    <t>01.02.2023</t>
  </si>
  <si>
    <t>24.02.2023</t>
  </si>
  <si>
    <t>EFFICIENCY OF A CHARGER AND WALL-TO-WHEEL EFFICIENCY OF AN ELECTRIC VEHICLE</t>
  </si>
  <si>
    <t>B60L 53/60; B60L 53/66; B60L 58/00; B60L 58/10</t>
  </si>
  <si>
    <t>IN393021987</t>
  </si>
  <si>
    <t>202341010177</t>
  </si>
  <si>
    <t>15.02.2023</t>
  </si>
  <si>
    <t>A DERATION SYSTEM FOR AN ELECTRIC VEHICLE</t>
  </si>
  <si>
    <t>B60L 15/20; B60L 3/08; B60W 10/08</t>
  </si>
  <si>
    <t>IN393021901</t>
  </si>
  <si>
    <t>202341005162</t>
  </si>
  <si>
    <t>25.01.2023</t>
  </si>
  <si>
    <t>A SYSTEM AND METHOD FOR CONTROLLING THE TINTING OF WINDOW PANES OF A VEHICLE</t>
  </si>
  <si>
    <t>B60J 3/00; B60J 3/02; B60J 3/04; G02F 1/00</t>
  </si>
  <si>
    <t>IN393021427</t>
  </si>
  <si>
    <t>202341007186</t>
  </si>
  <si>
    <t>03.02.2023</t>
  </si>
  <si>
    <t>A SYSTEM AND A METHOD FOR CONTROLLING THE TINTING OF WINDOW PANES</t>
  </si>
  <si>
    <t>E06B 9/24; G02F 1/00; G02F 1/23; G05B 13/00</t>
  </si>
  <si>
    <t>IN394088732</t>
  </si>
  <si>
    <t>202341017119</t>
  </si>
  <si>
    <t>14.03.2023</t>
  </si>
  <si>
    <t>17.03.2023</t>
  </si>
  <si>
    <t>AN ELECTRIC CURRENT MEASURING SYSTEM AND A METHOD THEREOF</t>
  </si>
  <si>
    <t>G01R 19/00; G01R 19/10; G01R 19/25</t>
  </si>
  <si>
    <t>IN394088675</t>
  </si>
  <si>
    <t>202341013892</t>
  </si>
  <si>
    <t>01.03.2023</t>
  </si>
  <si>
    <t>CURRENT COLLECTOR PLATES FOR BATTERIES</t>
  </si>
  <si>
    <t>H01M 10/04; H01M 10/643; H01M 10/655; H01M 4/04; H01M 4/64</t>
  </si>
  <si>
    <t>IN394087619</t>
  </si>
  <si>
    <t>202341011759</t>
  </si>
  <si>
    <t>21.02.2023</t>
  </si>
  <si>
    <t>PERSONALIZING TORQUE PROFILES OF AN ELECTRIC VEHICLE</t>
  </si>
  <si>
    <t>B60H /; B60L /; B60L /; B60L /; B62K /</t>
  </si>
  <si>
    <t>IN394088733</t>
  </si>
  <si>
    <t>202341017120</t>
  </si>
  <si>
    <t>A SYSTEM AND A METHOD FOR REDUCING THE BRAKING DISTANCE OF A VEHICLE</t>
  </si>
  <si>
    <t>B60T 13/66; B60T 7/12; B60T 8/17; B60T 8/32; B60T 8/34; B60T 8/58; B60T 8/60; B60W 30/09</t>
  </si>
  <si>
    <t>IN394088117</t>
  </si>
  <si>
    <t>202341011522</t>
  </si>
  <si>
    <t>20.02.2023</t>
  </si>
  <si>
    <t>TEMPERATURE DETECTION AND ALTERATION OF THE VEHICLE PARAMETERS TO IMPROVE THE LIFE AND PERFORMANCE</t>
  </si>
  <si>
    <t>H01M /; H01M /; H01M /; H01T /; H04L /</t>
  </si>
  <si>
    <t>IN394087219</t>
  </si>
  <si>
    <t>202341017117</t>
  </si>
  <si>
    <t>A SYSTEM FOR PROVIDING HARDWARE-BASED PROTECTION OF A BATTERY PACK OF AN ELECTRIC VEHICLE</t>
  </si>
  <si>
    <t>B60L 3/04; G01R 19/165; H01M 50/578; H01M 50/579; H01M 50/581; H01M 50/583; H02H 7/18; H02J 7/00</t>
  </si>
  <si>
    <t>IN394088602</t>
  </si>
  <si>
    <t>202341010411</t>
  </si>
  <si>
    <t>16.02.2023</t>
  </si>
  <si>
    <t>ADAPTIVE WHEELS BASED ON ROAD CONDITIONS</t>
  </si>
  <si>
    <t>B60T /; B60W /; B62D /; B65G /; F16H /</t>
  </si>
  <si>
    <t>IN394088192</t>
  </si>
  <si>
    <t>202341015278</t>
  </si>
  <si>
    <t>07.03.2023</t>
  </si>
  <si>
    <t>VARIABLE TORQUE MAP</t>
  </si>
  <si>
    <t>B60K /; E05D /; F16H /; F16H /; F16H /</t>
  </si>
  <si>
    <t>IN394088690</t>
  </si>
  <si>
    <t>202341014515</t>
  </si>
  <si>
    <t>03.03.2023</t>
  </si>
  <si>
    <t>A LATCH ASSEMBLY</t>
  </si>
  <si>
    <t>A01K /; B60G /; B60L /; E05B /; E21B /</t>
  </si>
  <si>
    <t>IN394088101</t>
  </si>
  <si>
    <t>202341010317</t>
  </si>
  <si>
    <t>AN APPARATUS AND A METHOD FOR SIMULTANEOUSLY OPERATING A PLURALITY OF VEHICLES</t>
  </si>
  <si>
    <t>G08G /; G08G /; H02J /; H04W /; H05K /</t>
  </si>
  <si>
    <t>IN394088118</t>
  </si>
  <si>
    <t>202341011524</t>
  </si>
  <si>
    <t>SYSTEM AND METHOD FOR STABILIZING A VEHICLE</t>
  </si>
  <si>
    <t>A62B /; B60L /; B60L /; B60T /; B60T /</t>
  </si>
  <si>
    <t>IN394088683</t>
  </si>
  <si>
    <t>202341014132</t>
  </si>
  <si>
    <t>02.03.2023</t>
  </si>
  <si>
    <t>A SYSTEM AND A METHOD FOR ACTIVATING INDICATORS OF A VEHICLE</t>
  </si>
  <si>
    <t>A61P /; A61P /; A61P /; A61P /; H04L /</t>
  </si>
  <si>
    <t>IN394431993</t>
  </si>
  <si>
    <t>202241014870</t>
  </si>
  <si>
    <t>17.03.2022</t>
  </si>
  <si>
    <t>24.03.2023</t>
  </si>
  <si>
    <t>HIGH TEMPERATURE BATTERY AND PREPARATION METHODS THEREOF</t>
  </si>
  <si>
    <t>IN395400562</t>
  </si>
  <si>
    <t>202341023271</t>
  </si>
  <si>
    <t>29.03.2023</t>
  </si>
  <si>
    <t>07.04.2023</t>
  </si>
  <si>
    <t>A MONITORING AND UPDATE DEVICE FOR A VEHICLE</t>
  </si>
  <si>
    <t>G06F /; H01L /; H01L /; H01L /; H04L /</t>
  </si>
  <si>
    <t>IN395400574</t>
  </si>
  <si>
    <t>202341023959</t>
  </si>
  <si>
    <t>30.03.2023</t>
  </si>
  <si>
    <t>A FLEXIBLE APPARATUS FOR SUPPORTING A VEHICLE, AND A METHOD THEREOF</t>
  </si>
  <si>
    <t>B60B /; G06F /; G09G /; H04W /; H04W /</t>
  </si>
  <si>
    <t>IN395400550</t>
  </si>
  <si>
    <t>202341022602</t>
  </si>
  <si>
    <t>28.03.2023</t>
  </si>
  <si>
    <t>CHARGING OF AN ENERGY STORAGE DEVICE</t>
  </si>
  <si>
    <t>B60L /; H01M /; H02J /; H02J /; H02J /</t>
  </si>
  <si>
    <t>IN395400541</t>
  </si>
  <si>
    <t>202341022136</t>
  </si>
  <si>
    <t>27.03.2023</t>
  </si>
  <si>
    <t>A SYSTEM FOR REDUCING CRASH ACCELERATION PEAK AND A METHOD THEREOF</t>
  </si>
  <si>
    <t>B60R /; B62D /; E05B /; H04L /; H04W /</t>
  </si>
  <si>
    <t>IN395400547</t>
  </si>
  <si>
    <t>202341022563</t>
  </si>
  <si>
    <t>A HELMET DETECTION SYSTEM</t>
  </si>
  <si>
    <t>A42B /; A42B /; A42B /; A42B /; A42B /</t>
  </si>
  <si>
    <t>IN395400546</t>
  </si>
  <si>
    <t>202341022522</t>
  </si>
  <si>
    <t>METHOD AND SYSTEM FOR ESTIMATING CHARGING TIME OF A RECHARGEABLE BATTERY</t>
  </si>
  <si>
    <t>F21S /; G09G /; H01M /; H01M /; H02J /</t>
  </si>
  <si>
    <t>WO2023058066</t>
  </si>
  <si>
    <t>PCT/IN2022/050903</t>
  </si>
  <si>
    <t>07.10.2022</t>
  </si>
  <si>
    <t>WO/2023/058066</t>
  </si>
  <si>
    <t>13.04.2023</t>
  </si>
  <si>
    <t>B60L 58/12; B60L 53/62</t>
  </si>
  <si>
    <t>WO2023058068</t>
  </si>
  <si>
    <t>PCT/IN2022/050905</t>
  </si>
  <si>
    <t>WO/2023/058068</t>
  </si>
  <si>
    <t>G06T 7/00; G06V 10/44</t>
  </si>
  <si>
    <t>IN396260181</t>
  </si>
  <si>
    <t>202341026271</t>
  </si>
  <si>
    <t>21.04.2023</t>
  </si>
  <si>
    <t>AIR-VENTS FOR HEATING, VENTILATION, AND AIR CONDITIONING UNITS OF VEHICLES</t>
  </si>
  <si>
    <t>B60H 1/00</t>
  </si>
  <si>
    <t>VN434904092</t>
  </si>
  <si>
    <t>1202205318</t>
  </si>
  <si>
    <t>93804</t>
  </si>
  <si>
    <t>25.04.2023</t>
  </si>
  <si>
    <t>VN</t>
  </si>
  <si>
    <t>Xe</t>
  </si>
  <si>
    <t>B62J 43/16; B62J 43/23; B62J 9/14; B62K 19/16; B62K 19/46</t>
  </si>
  <si>
    <t>VN434904093</t>
  </si>
  <si>
    <t>1202205320</t>
  </si>
  <si>
    <t>93805</t>
  </si>
  <si>
    <t>Hệ thống ắc quy và phương pháp quản lý ắc quy</t>
  </si>
  <si>
    <t>B60L 58/00; H01M 10/44; H02J 7/00</t>
  </si>
  <si>
    <t>IN397756737</t>
  </si>
  <si>
    <t>202341023164</t>
  </si>
  <si>
    <t>28.04.2023</t>
  </si>
  <si>
    <t>SYSTEM AND METHOD FOR PREVENTING THE UNAUTHORIZED USAGE OF A VEHICLE</t>
  </si>
  <si>
    <t>B60R /; B62D /; G06Q /; H04N /; H04N /</t>
  </si>
  <si>
    <t>WO2023079580</t>
  </si>
  <si>
    <t>PCT/IN2022/050977</t>
  </si>
  <si>
    <t>WO/2023/079580</t>
  </si>
  <si>
    <t>11.05.2023</t>
  </si>
  <si>
    <t>B60W 50/08; B60W 40/02; G06Q 50/30</t>
  </si>
  <si>
    <t>IN398104729</t>
  </si>
  <si>
    <t>202241026472</t>
  </si>
  <si>
    <t>12.05.2023</t>
  </si>
  <si>
    <t>CATHODE ACTIVE MATERIAL AND PREPARATION METHODS THEREOF</t>
  </si>
  <si>
    <t>WO2023089635</t>
  </si>
  <si>
    <t>PCT/IN2022/051010</t>
  </si>
  <si>
    <t>17.11.2022</t>
  </si>
  <si>
    <t>WO/2023/089635</t>
  </si>
  <si>
    <t>25.05.2023</t>
  </si>
  <si>
    <t>METHOD AND SYSTEM TO FACILITATE NAVIGATION PLANNING FOR VEHICLES</t>
  </si>
  <si>
    <t>G01C 21/26; B60W 60/00; G06G 3/02</t>
  </si>
  <si>
    <t>WO2023100193</t>
  </si>
  <si>
    <t>PCT/IN2022/051027</t>
  </si>
  <si>
    <t>24.11.2022</t>
  </si>
  <si>
    <t>WO/2023/100193</t>
  </si>
  <si>
    <t>08.06.2023</t>
  </si>
  <si>
    <t>SOLID ELECTROLYTE PARTICULATES AND PREPARATION METHODS THEREOF</t>
  </si>
  <si>
    <t>C01B 17/22; H01M 10/052; H01M 10/0562; H01M 10/0525</t>
  </si>
  <si>
    <t>WO2023100195</t>
  </si>
  <si>
    <t>PCT/IN2022/051035</t>
  </si>
  <si>
    <t>WO/2023/100195</t>
  </si>
  <si>
    <t>B62L 3/08; B60T 7/10; B60T 11/04</t>
  </si>
  <si>
    <t>WO2023112052</t>
  </si>
  <si>
    <t>PCT/IN2022/051074</t>
  </si>
  <si>
    <t>WO/2023/112052</t>
  </si>
  <si>
    <t>22.06.2023</t>
  </si>
  <si>
    <t>BATTERY PACK FOR ELECTRIC VEHICLE</t>
  </si>
  <si>
    <t>B60L 50/64</t>
  </si>
  <si>
    <t>WO2023131982</t>
  </si>
  <si>
    <t>PCT/IN2023/050373</t>
  </si>
  <si>
    <t>18.04.2023</t>
  </si>
  <si>
    <t>WO/2023/131982</t>
  </si>
  <si>
    <t>13.07.2023</t>
  </si>
  <si>
    <t>H01M 10/04; H01M 4/64</t>
  </si>
  <si>
    <t>AU419755126</t>
  </si>
  <si>
    <t>2023205673</t>
  </si>
  <si>
    <t>AU</t>
  </si>
  <si>
    <t>IN414858212</t>
  </si>
  <si>
    <t>202241004539</t>
  </si>
  <si>
    <t>27.01.2022</t>
  </si>
  <si>
    <t>28.07.2023</t>
  </si>
  <si>
    <t>METHOD AND SYSTEM FOR PROVIDING DRIVING ASSISTANCE FOR VEHICLES</t>
  </si>
  <si>
    <t>G06K /; B60W /; A61B /; B60W /; G06T /</t>
  </si>
  <si>
    <t>IN414864799</t>
  </si>
  <si>
    <t>202341031319</t>
  </si>
  <si>
    <t>02.05.2023</t>
  </si>
  <si>
    <t>18.08.2023</t>
  </si>
  <si>
    <t>A STRUCTURE FOR SECURING A POWER CIRCUIT BOARD (PCB) FOR A VEHICLE</t>
  </si>
  <si>
    <t>B60R 11/00; B60R 16/02; H05K 5/02; H05K 7/14</t>
  </si>
  <si>
    <t>IN414832784</t>
  </si>
  <si>
    <t>202341037299</t>
  </si>
  <si>
    <t>30.05.2023</t>
  </si>
  <si>
    <t>AN ARRANGEMENT FOR SUPPLY OF PRESSURIZED AIR AND VACUUM CLEANER IN A VEHICLE</t>
  </si>
  <si>
    <t>B60S 1/64; B60S 5/04</t>
  </si>
  <si>
    <t>IN414857801</t>
  </si>
  <si>
    <t>202341048297</t>
  </si>
  <si>
    <t>19.07.2023</t>
  </si>
  <si>
    <t>01.09.2023</t>
  </si>
  <si>
    <t>A CELL HOLDER ASSEMBLY</t>
  </si>
  <si>
    <t>H01M 10/04; H01M 10/056; H01M 10/058; H01M 50/10; H01M 50/14</t>
  </si>
  <si>
    <t>IN414847301</t>
  </si>
  <si>
    <t>202341052571</t>
  </si>
  <si>
    <t>04.08.2023</t>
  </si>
  <si>
    <t>HOUSING ASSEMBLY FOR BATTERY CELLS</t>
  </si>
  <si>
    <t>H01M /; F28F /; F28D /; B41J /; H02K /</t>
  </si>
  <si>
    <t>IN414844296</t>
  </si>
  <si>
    <t>202341044817</t>
  </si>
  <si>
    <t>04.07.2023</t>
  </si>
  <si>
    <t>A DOOR TRIM OF A VEHICLE</t>
  </si>
  <si>
    <t>B60J 5/04; B60R 13/02; B60R 21/04</t>
  </si>
  <si>
    <t>IN414839799</t>
  </si>
  <si>
    <t>202341054674</t>
  </si>
  <si>
    <t>14.08.2023</t>
  </si>
  <si>
    <t>BATTERY PACK HOUSING HAVING OVER-MOULDED BUS BAR</t>
  </si>
  <si>
    <t>H01M /; B29C /; H01M /; H02K /; H01M /</t>
  </si>
  <si>
    <t>IN414857811</t>
  </si>
  <si>
    <t>202341050557</t>
  </si>
  <si>
    <t>26.07.2023</t>
  </si>
  <si>
    <t>A METHOD FOR CONTROLLING A VEHICLE</t>
  </si>
  <si>
    <t>G01S /; H04B /; G06Q /; H04W /; H04W /</t>
  </si>
  <si>
    <t>IN414853263</t>
  </si>
  <si>
    <t>202341035759</t>
  </si>
  <si>
    <t>23.05.2023</t>
  </si>
  <si>
    <t>VEHICLE FRAME FOR ACCOMMODATING A BATTERY PACK</t>
  </si>
  <si>
    <t>B60L 50/66; B62J 43/16; B62J 43/20; B62J 43/28; B62M 6/90</t>
  </si>
  <si>
    <t>IN414857786</t>
  </si>
  <si>
    <t>202341036348</t>
  </si>
  <si>
    <t>AN ELECTRIC VEHICLE POWER CONTROLLING SYSTEM AND A METHOD THEREOF</t>
  </si>
  <si>
    <t>B60L 1/00; B60L 58/00; B60L 58/10; B60R 16/03; B60R 16/033; H02J 7/00</t>
  </si>
  <si>
    <t>IN414853312</t>
  </si>
  <si>
    <t>202341056040</t>
  </si>
  <si>
    <t>21.08.2023</t>
  </si>
  <si>
    <t>AN ADAPTIVE KINETIC ENERGY RECOVERY SYSTEM FOR AN ELECTRIC VEHICLE AND A METHOD THEREOF</t>
  </si>
  <si>
    <t>B60L 15/20; B60L 3/12; B60L 53/64; B60L 58/15; B60L 7/10; B60L 7/20; B60W 30/188</t>
  </si>
  <si>
    <t>IN414845699</t>
  </si>
  <si>
    <t>202241065082</t>
  </si>
  <si>
    <t>CONTACT ELEMENT FOR LITHIUM-ION BATTERY</t>
  </si>
  <si>
    <t>IN414843814</t>
  </si>
  <si>
    <t>202341053480</t>
  </si>
  <si>
    <t>09.08.2023</t>
  </si>
  <si>
    <t>METHOD AND SYSTEM FOR EMULATION OF A CONFIGURATION OF A SENSOR</t>
  </si>
  <si>
    <t>G06F /; F02D /; H04W /; G06Q /; G07C /</t>
  </si>
  <si>
    <t>IN414857315</t>
  </si>
  <si>
    <t>202341048951</t>
  </si>
  <si>
    <t>20.07.2023</t>
  </si>
  <si>
    <t>A RIVET COMPONENT AND AN ENERGY STORAGE CELL COMPRISING THE RIVET COMPONENT</t>
  </si>
  <si>
    <t>H01M 10/04; H01M 10/625; H01M 50/152; H01M 50/517; H01M 50/567</t>
  </si>
  <si>
    <t>IN414854785</t>
  </si>
  <si>
    <t>202341045464</t>
  </si>
  <si>
    <t>06.07.2023</t>
  </si>
  <si>
    <t>A CELL SEPARATOR ASSEMBLY</t>
  </si>
  <si>
    <t>H01M 10/625; H01M 10/643; H01M 50/10; H01M 50/213; H01M 50/258</t>
  </si>
  <si>
    <t>IN414858214</t>
  </si>
  <si>
    <t>202241066825</t>
  </si>
  <si>
    <t>21.11.2022</t>
  </si>
  <si>
    <t>08.09.2023</t>
  </si>
  <si>
    <t>PROCESS OF PREPARATION OF DRY ELECTRODE AND IMPLEMENTATIONS THEREOF</t>
  </si>
  <si>
    <t>H01M /; A61B /; A61B /; H01M /; C04B /</t>
  </si>
  <si>
    <t>IN414831801</t>
  </si>
  <si>
    <t>202341058573</t>
  </si>
  <si>
    <t>31.08.2023</t>
  </si>
  <si>
    <t>APPROACHES FOR REGULATING BRAKING SYSTEM OF A VEHICLE</t>
  </si>
  <si>
    <t>B01J /; B60T /; B60T /; B60T /; H05K /</t>
  </si>
  <si>
    <t>IN414836218</t>
  </si>
  <si>
    <t>202241060396</t>
  </si>
  <si>
    <t>15.09.2023</t>
  </si>
  <si>
    <t>“HILL HOLD FOR AN ELECTRIC VEHICLE</t>
  </si>
  <si>
    <t>B60L /; B60L /; B60L /; B60H /; B32B /</t>
  </si>
  <si>
    <t>WO2023187798</t>
  </si>
  <si>
    <t>PCT/IN2022/050784</t>
  </si>
  <si>
    <t>02.09.2022</t>
  </si>
  <si>
    <t>WO/2023/187798</t>
  </si>
  <si>
    <t>05.10.2023</t>
  </si>
  <si>
    <t>C30B 29/02</t>
  </si>
  <si>
    <t>WO2023187797</t>
  </si>
  <si>
    <t>PCT/IN2022/050783</t>
  </si>
  <si>
    <t>WO/2023/187797</t>
  </si>
  <si>
    <t>C30B 29/02; H01M 4/525; H01M 4/1391</t>
  </si>
  <si>
    <t>IN414848326</t>
  </si>
  <si>
    <t>202341064678</t>
  </si>
  <si>
    <t>26.09.2023</t>
  </si>
  <si>
    <t>13.10.2023</t>
  </si>
  <si>
    <t>SOLID ELECTROLYTE AND PROCESS THEREOF</t>
  </si>
  <si>
    <t>IN414836219</t>
  </si>
  <si>
    <t>202241060412</t>
  </si>
  <si>
    <t>27.10.2023</t>
  </si>
  <si>
    <t>METHOD AND SYSTEM FOR SHARING INFORMATION AMONG A GROUP OF VEHICLES</t>
  </si>
  <si>
    <t>H04W /; H04L /; A46B /; H02J /; H04B /</t>
  </si>
  <si>
    <t>IN417755891</t>
  </si>
  <si>
    <t>202341075264</t>
  </si>
  <si>
    <t>03.11.2023</t>
  </si>
  <si>
    <t>15.12.2023</t>
  </si>
  <si>
    <t>DETERMINING ROTOR POSITION DURING MOTORING &amp; REGENERATING MODE</t>
  </si>
  <si>
    <t>H02P 21/18; H02P 6/16; H02P 6/18</t>
  </si>
  <si>
    <t>IN417756858</t>
  </si>
  <si>
    <t>202341072394</t>
  </si>
  <si>
    <t>23.10.2023</t>
  </si>
  <si>
    <t>A PROCESS FOR PREPARING AN ELECTRODE</t>
  </si>
  <si>
    <t>IN417756911</t>
  </si>
  <si>
    <t>202341076998</t>
  </si>
  <si>
    <t>10.11.2023</t>
  </si>
  <si>
    <t>AN ECCENTRIC CAM BASED TENSIONING MECHANISM</t>
  </si>
  <si>
    <t>D03D /; G06F /; B65G /; B62K /; H05K /</t>
  </si>
  <si>
    <t>IN417756887</t>
  </si>
  <si>
    <t>202341075265</t>
  </si>
  <si>
    <t>DIRECT COOLING OF AN ELECTRIC MOTOR</t>
  </si>
  <si>
    <t>B60K 11/02; H02K 1/20; H02K 3/24; H02K 5/20; H02K 9/00; H02K 9/19</t>
  </si>
  <si>
    <t>WO2023242865</t>
  </si>
  <si>
    <t>PCT/IN2023/050557</t>
  </si>
  <si>
    <t>13.06.2023</t>
  </si>
  <si>
    <t>WO/2023/242865</t>
  </si>
  <si>
    <t>21.12.2023</t>
  </si>
  <si>
    <t>A POUCH CELL HOLDER ASSEMBLY, A BATTERY PACK MODULE, AND A BATTERY PACK</t>
  </si>
  <si>
    <t>H01M 10/613; H01M 50/105</t>
  </si>
  <si>
    <t>WO2023248257</t>
  </si>
  <si>
    <t>PCT/IN2023/050613</t>
  </si>
  <si>
    <t>26.06.2023</t>
  </si>
  <si>
    <t>WO/2023/248257</t>
  </si>
  <si>
    <t>28.12.2023</t>
  </si>
  <si>
    <t>DETECTING A CALIBRATION LOSS OF A CAMERA DEVICE IN A VEHICLE</t>
  </si>
  <si>
    <t>G06T 7/80; B60R 1/00</t>
  </si>
  <si>
    <t>WO2024028887</t>
  </si>
  <si>
    <t>PCT/IN2023/050512</t>
  </si>
  <si>
    <t>01.06.2023</t>
  </si>
  <si>
    <t>WO/2024/028887</t>
  </si>
  <si>
    <t>08.02.2024</t>
  </si>
  <si>
    <t>A CYLINDRICAL SECONDARY BATTERY</t>
  </si>
  <si>
    <t>H01M 50/538; H01M 50/55; H01M 10/28</t>
  </si>
  <si>
    <t>WO2024062501</t>
  </si>
  <si>
    <t>PCT/IN2023/050879</t>
  </si>
  <si>
    <t>22.09.2023</t>
  </si>
  <si>
    <t>WO/2024/062501</t>
  </si>
  <si>
    <t>28.03.2024</t>
  </si>
  <si>
    <t>CHASSIS FRAME FOR ELECTRIC VEHICLES</t>
  </si>
  <si>
    <t>B62K 19/00; B62K 19/30</t>
  </si>
  <si>
    <t>EP428026722</t>
  </si>
  <si>
    <t>23737279</t>
  </si>
  <si>
    <t>4356465</t>
  </si>
  <si>
    <t>24.04.2024</t>
  </si>
  <si>
    <t>H01M 4/66; H01M 4/64; H01M 4/70; H01M 10/04</t>
  </si>
  <si>
    <t>OLA ELECTRIC MOBILITY LTD</t>
  </si>
  <si>
    <t>WO2024084495</t>
  </si>
  <si>
    <t>PCT/IN2023/050913</t>
  </si>
  <si>
    <t>10.10.2023</t>
  </si>
  <si>
    <t>WO/2024/084495</t>
  </si>
  <si>
    <t>25.04.2024</t>
  </si>
  <si>
    <t>B60Q 1/02; B60R 16/023; H05B 45/10; H05B 47/105</t>
  </si>
  <si>
    <t>WO2024095291</t>
  </si>
  <si>
    <t>PCT/IN2023/051012</t>
  </si>
  <si>
    <t>WO/2024/095291</t>
  </si>
  <si>
    <t>10.05.2024</t>
  </si>
  <si>
    <t>H01M 10/058; H01M 10/613; B60L 50/64; A62C 3/16; H01M 50/143; H01M 50/10; H01M 50/383</t>
  </si>
  <si>
    <t>WO2024100681</t>
  </si>
  <si>
    <t>PCT/IN2023/051031</t>
  </si>
  <si>
    <t>07.11.2023</t>
  </si>
  <si>
    <t>WO/2024/100681</t>
  </si>
  <si>
    <t>16.05.2024</t>
  </si>
  <si>
    <t>B60W 30/18</t>
  </si>
  <si>
    <t>WO2024105687</t>
  </si>
  <si>
    <t>PCT/IN2023/050845</t>
  </si>
  <si>
    <t>07.09.2023</t>
  </si>
  <si>
    <t>WO/2024/105687</t>
  </si>
  <si>
    <t>23.05.2024</t>
  </si>
  <si>
    <t>H01M 10/058; H01M 50/10; H01M 50/172</t>
  </si>
  <si>
    <t>WO2024105691</t>
  </si>
  <si>
    <t>PCT/IN2023/051039</t>
  </si>
  <si>
    <t>09.11.2023</t>
  </si>
  <si>
    <t>WO/2024/105691</t>
  </si>
  <si>
    <t>SYSTEM AND METHOD TO PROVIDE ELECTRONIC LOAD WITH UNIFORM REGENERATION CURRENT</t>
  </si>
  <si>
    <t>B60L 7/10; B60L 7/18</t>
  </si>
  <si>
    <t>WO2024110976</t>
  </si>
  <si>
    <t>PCT/IN2023/050829</t>
  </si>
  <si>
    <t>WO/2024/110976</t>
  </si>
  <si>
    <t>30.05.2024</t>
  </si>
  <si>
    <t>C25D 17/10; H01B 13/00; H01B 1/02; H01B 1/04; H01B 1/06</t>
  </si>
  <si>
    <t>WO2024110979</t>
  </si>
  <si>
    <t>PCT/IN2023/051043</t>
  </si>
  <si>
    <t>WO/2024/110979</t>
  </si>
  <si>
    <t>B62L 3/08; B60T 8/28</t>
  </si>
  <si>
    <t>WO2024121858</t>
  </si>
  <si>
    <t>PCT/IN2023/050956</t>
  </si>
  <si>
    <t>18.10.2023</t>
  </si>
  <si>
    <t>WO/2024/121858</t>
  </si>
  <si>
    <t>13.06.2024</t>
  </si>
  <si>
    <t>B62M 9/16</t>
  </si>
  <si>
    <t>WO2024142097</t>
  </si>
  <si>
    <t>PCT/IN2023/051223</t>
  </si>
  <si>
    <t>26.12.2023</t>
  </si>
  <si>
    <t>WO/2024/142097</t>
  </si>
  <si>
    <t>04.07.2024</t>
  </si>
  <si>
    <t>G07C 5/08; B60W 40/02; B60W 40/08; B60W 40/10</t>
  </si>
  <si>
    <t>EP436934991</t>
  </si>
  <si>
    <t>22878123</t>
  </si>
  <si>
    <t>4412865</t>
  </si>
  <si>
    <t>14.08.2024</t>
  </si>
  <si>
    <t>B60L 58/12; B60L 1/00; B60L 3/12; B60L 53/62; B60L 53/64; B60L 53/66; B60L 58/16; G06N 20/00</t>
  </si>
  <si>
    <t>EP436935730</t>
  </si>
  <si>
    <t>22878125</t>
  </si>
  <si>
    <t>4413530</t>
  </si>
  <si>
    <t>G06T 7/00; G06V 10/44; G06V 20/10; G06V 20/20</t>
  </si>
  <si>
    <t>IN438211967</t>
  </si>
  <si>
    <t>202341053232</t>
  </si>
  <si>
    <t>08.08.2023</t>
  </si>
  <si>
    <t>16.08.2024</t>
  </si>
  <si>
    <t>A BINDER COMPOSITION, AN ELECTRODE COMPOSITE, AND METHODS THEREOF</t>
  </si>
  <si>
    <t>H01M /; H01M /; H01M /; H01M /; C03C /</t>
  </si>
  <si>
    <t>WO2024171220</t>
  </si>
  <si>
    <t>PCT/IN2024/050148</t>
  </si>
  <si>
    <t>15.02.2024</t>
  </si>
  <si>
    <t>WO/2024/171220</t>
  </si>
  <si>
    <t>22.08.2024</t>
  </si>
  <si>
    <t>H04W 4/46</t>
  </si>
  <si>
    <t>WO2024171221</t>
  </si>
  <si>
    <t>PCT/IN2024/050149</t>
  </si>
  <si>
    <t>WO/2024/171221</t>
  </si>
  <si>
    <t>B60L 15/20; B60L 3/08; B60W 10/08; H02H 7/08</t>
  </si>
  <si>
    <t>WO2024201487</t>
  </si>
  <si>
    <t>PCT/IN2024/050235</t>
  </si>
  <si>
    <t>07.03.2024</t>
  </si>
  <si>
    <t>WO/2024/201487</t>
  </si>
  <si>
    <t>03.10.2024</t>
  </si>
  <si>
    <t>B60L 53/65; B60L 58/12; G01R 19/12; G01R 31/36; H01M 10/48</t>
  </si>
  <si>
    <t>ES440573449</t>
  </si>
  <si>
    <t>2981212</t>
  </si>
  <si>
    <t>07.10.2024</t>
  </si>
  <si>
    <t>ES</t>
  </si>
  <si>
    <t>Sistema de baterías y método de gestión de baterías</t>
  </si>
  <si>
    <t>Ola Electric Mobility B.V.</t>
  </si>
  <si>
    <t>US441033602</t>
  </si>
  <si>
    <t>18699263</t>
  </si>
  <si>
    <t>20240346640</t>
  </si>
  <si>
    <t>17.10.2024</t>
  </si>
  <si>
    <t>G06T 7/00; G05B 23/02; G06V 10/25; G06V 10/62; G06V 10/764</t>
  </si>
  <si>
    <t>WO2024241331</t>
  </si>
  <si>
    <t>PCT/IN2024/050456</t>
  </si>
  <si>
    <t>30.04.2024</t>
  </si>
  <si>
    <t>WO/2024/241331</t>
  </si>
  <si>
    <t>28.11.2024</t>
  </si>
  <si>
    <t>B60K 1/04; B62M 6/90; B62J 43/28</t>
  </si>
  <si>
    <t>WO2024252421</t>
  </si>
  <si>
    <t>PCT/IN2024/050697</t>
  </si>
  <si>
    <t>07.06.2024</t>
  </si>
  <si>
    <t>WO/2024/252421</t>
  </si>
  <si>
    <t>12.12.2024</t>
  </si>
  <si>
    <t>A MODIFIED BINDER, A DRY ELECTRODE AND PROCESSES THEREOF</t>
  </si>
  <si>
    <t>C08L 27/18; H01M 4/13; H01M 4/139; H01M 4/62</t>
  </si>
  <si>
    <t>WO2025017569</t>
  </si>
  <si>
    <t>PCT/IN2023/051015</t>
  </si>
  <si>
    <t>WO/2025/017569</t>
  </si>
  <si>
    <t>23.01.2025</t>
  </si>
  <si>
    <t>A DRY BATTERY ELECTRODE, A LITHIUM-ION BATTERY AND PROCESSES THEREOF</t>
  </si>
  <si>
    <t>C08L 27/18; H01M 10/0525; H01M 4/131; B29K 27/18</t>
  </si>
  <si>
    <t>WO2025017630</t>
  </si>
  <si>
    <t>PCT/IN2024/051184</t>
  </si>
  <si>
    <t>12.07.2024</t>
  </si>
  <si>
    <t>WO/2025/017630</t>
  </si>
  <si>
    <t>DRY ELECTRODE PREPARATION</t>
  </si>
  <si>
    <t>C25B 11/00; H01M 4/139; H01M 4/36; H01M 4/62; C08K 3/04; B82Y 30/00; C08L 27/18</t>
  </si>
  <si>
    <t>WO2025017571</t>
  </si>
  <si>
    <t>PCT/IN2023/051088</t>
  </si>
  <si>
    <t>24.11.2023</t>
  </si>
  <si>
    <t>WO/2025/017571</t>
  </si>
  <si>
    <t>H01M 50/567; H01M 50/517; H01M 50/152; H01M 10/04</t>
  </si>
  <si>
    <t>WO2025022460</t>
  </si>
  <si>
    <t>PCT/IN2024/051383</t>
  </si>
  <si>
    <t>25.07.2024</t>
  </si>
  <si>
    <t>WO/2025/022460</t>
  </si>
  <si>
    <t>30.01.2025</t>
  </si>
  <si>
    <t>A METHOD AND A SYSTEM FOR CONTROLLING A VEHICLE BASED ON USER'S INTENT</t>
  </si>
  <si>
    <t>H04W 4/40; H04B 17/318; B60R 25/102</t>
  </si>
  <si>
    <t>WO2025032604</t>
  </si>
  <si>
    <t>PCT/IN2024/051437</t>
  </si>
  <si>
    <t>02.08.2024</t>
  </si>
  <si>
    <t>WO/2025/032604</t>
  </si>
  <si>
    <t>13.02.2025</t>
  </si>
  <si>
    <t>H01M 10/613; H01M 10/62; H01M 10/655</t>
  </si>
  <si>
    <t>WO2025037341</t>
  </si>
  <si>
    <t>PCT/IN2024/051491</t>
  </si>
  <si>
    <t>13.08.2024</t>
  </si>
  <si>
    <t>WO/2025/037341</t>
  </si>
  <si>
    <t>20.02.2025</t>
  </si>
  <si>
    <t>BATTERY PACK HOUSING HAVING OVERMOULDED BUS BAR</t>
  </si>
  <si>
    <t>H01M 10/04; H01M 10/625; H01M 50/507; H01M 50/406</t>
  </si>
  <si>
    <t>WO2025052431</t>
  </si>
  <si>
    <t>PCT/IN2024/051624</t>
  </si>
  <si>
    <t>04.09.2024</t>
  </si>
  <si>
    <t>WO/2025/052431</t>
  </si>
  <si>
    <t>13.03.2025</t>
  </si>
  <si>
    <t>GENERATING A CHARGING PROFILE FOR CHARGING AN ENERGY STORAGE DEVICE</t>
  </si>
  <si>
    <t>B60L 58/10; H02J 7/00; H01M 10/633; G01R 31/367; G06Q 10/04</t>
  </si>
  <si>
    <t>WO2025052395</t>
  </si>
  <si>
    <t>PCT/IN2024/051454</t>
  </si>
  <si>
    <t>05.08.2024</t>
  </si>
  <si>
    <t>WO/2025/052395</t>
  </si>
  <si>
    <t>THERMAL MANAGEMENT SYSTEM FOR BATTERY MODULES</t>
  </si>
  <si>
    <t>H01M 10/65; H01M 10/643; H01M 50/35; H01M 50/367; H01M 50/30; H01M 10/625</t>
  </si>
  <si>
    <t>WO2025057177</t>
  </si>
  <si>
    <t>PCT/IN2024/051384</t>
  </si>
  <si>
    <t>26.07.2024</t>
  </si>
  <si>
    <t>WO/2025/057177</t>
  </si>
  <si>
    <t>20.03.2025</t>
  </si>
  <si>
    <t>A PROCESS FOR PREPARATION OF AN ELECTRODE FILM AND IMPLEMENTATIONS THEREOF</t>
  </si>
  <si>
    <t>H01G 11/42; H01M 4/02; H01M 4/04; H01M 4/62</t>
  </si>
  <si>
    <t>WO2025074393</t>
  </si>
  <si>
    <t>PCT/IN2024/051949</t>
  </si>
  <si>
    <t>04.10.2024</t>
  </si>
  <si>
    <t>WO/2025/074393</t>
  </si>
  <si>
    <t>10.04.2025</t>
  </si>
  <si>
    <t>CELL GRIP MECHANISM THROUGH CRUSH RIB</t>
  </si>
  <si>
    <t>H01M 10/625; H01M 10/04; H01M 50/20; H01M 50/00; H01M 50/249; H01M 50/204; H01M 50/244; H01M 50/267</t>
  </si>
  <si>
    <t>WO2025074379</t>
  </si>
  <si>
    <t>PCT/IN2024/051929</t>
  </si>
  <si>
    <t>01.10.2024</t>
  </si>
  <si>
    <t>WO/2025/074379</t>
  </si>
  <si>
    <t>COOLING OF ROTOR ASSEMBLIES IN MOTORS</t>
  </si>
  <si>
    <t>H02K 9/19; H02K 9/22</t>
  </si>
  <si>
    <t>WO2025088619</t>
  </si>
  <si>
    <t>PCT/IN2023/051166</t>
  </si>
  <si>
    <t>12.12.2023</t>
  </si>
  <si>
    <t>WO/2025/088619</t>
  </si>
  <si>
    <t>01.05.2025</t>
  </si>
  <si>
    <t>H01M 4/62; H01M 4/36; H01M 4/04</t>
  </si>
  <si>
    <t>WO2025094191</t>
  </si>
  <si>
    <t>PCT/IN2024/052116</t>
  </si>
  <si>
    <t>23.10.2024</t>
  </si>
  <si>
    <t>WO/2025/094191</t>
  </si>
  <si>
    <t>08.05.2025</t>
  </si>
  <si>
    <t>H02K 1/20; H02K 3/24; H02K 5/20; H02K 9/00; H02K 9/19; B60K 11/02</t>
  </si>
  <si>
    <t>WO2025099765</t>
  </si>
  <si>
    <t>PCT/IN2024/052205</t>
  </si>
  <si>
    <t>08.11.2024</t>
  </si>
  <si>
    <t>WO/2025/099765</t>
  </si>
  <si>
    <t>15.05.2025</t>
  </si>
  <si>
    <t>F16H 7/14</t>
  </si>
  <si>
    <t>WO2025134134</t>
  </si>
  <si>
    <t>PCT/IN2024/052268</t>
  </si>
  <si>
    <t>21.11.2024</t>
  </si>
  <si>
    <t>WO/2025/134134</t>
  </si>
  <si>
    <t>26.06.2025</t>
  </si>
  <si>
    <t>A BINDER COMPOSITION, AN ELECTRODE, AND METHODS THEREOF</t>
  </si>
  <si>
    <t>H01M 4/131; H01M 4/02; H01M 4/133</t>
  </si>
  <si>
    <t>WO2025134142</t>
  </si>
  <si>
    <t>PCT/IN2024/052395</t>
  </si>
  <si>
    <t>18.12.2024</t>
  </si>
  <si>
    <t>WO/2025/134142</t>
  </si>
  <si>
    <t>A DUAL-PASS COOLING SYSTEM FOR BATTERY PACK COOLING</t>
  </si>
  <si>
    <t>H01M 10/613; H01M 10/643; H01M 10/651; H01M 10/6567</t>
  </si>
  <si>
    <t>WO2025141598</t>
  </si>
  <si>
    <t>PCT/IN2024/052250</t>
  </si>
  <si>
    <t>18.11.2024</t>
  </si>
  <si>
    <t>WO/2025/141598</t>
  </si>
  <si>
    <t>03.07.2025</t>
  </si>
  <si>
    <t>C01B 32/00; H01M 4/62; H01M 4/04; H01M 4/36; H01M 4/133; H01M 4/96; H01M 4/1391; H01M 4/1393; H01M 4/48</t>
  </si>
  <si>
    <t>US459870037</t>
  </si>
  <si>
    <t>18699262</t>
  </si>
  <si>
    <t>20250236198</t>
  </si>
  <si>
    <t>24.07.2025</t>
  </si>
  <si>
    <t>B60L 53/62; B60L 53/66; B60L 58/12</t>
  </si>
  <si>
    <t>WO2025173027</t>
  </si>
  <si>
    <t>PCT/IN2025/050185</t>
  </si>
  <si>
    <t>11.02.2025</t>
  </si>
  <si>
    <t>WO/2025/173027</t>
  </si>
  <si>
    <t>21.08.2025</t>
  </si>
  <si>
    <t>SYNTHESIZING HIGH ENERGY DENSITY CATHODE MATERIAL</t>
  </si>
  <si>
    <t>C01B 25/37; C01D 15/00; H01M 10/0525; H01M 4/1397; H01M 4/58</t>
  </si>
  <si>
    <t>WO2025186834</t>
  </si>
  <si>
    <t>PCT/IN2025/050322</t>
  </si>
  <si>
    <t>06.03.2025</t>
  </si>
  <si>
    <t>WO/2025/186834</t>
  </si>
  <si>
    <t>11.09.2025</t>
  </si>
  <si>
    <t>DOUBLE-SEALED BATTERY PACK</t>
  </si>
  <si>
    <t>H01M 50/202; H01M 50/271</t>
  </si>
  <si>
    <t>WO2025186829</t>
  </si>
  <si>
    <t>PCT/IN2025/050315</t>
  </si>
  <si>
    <t>WO/2025/186829</t>
  </si>
  <si>
    <t>A MOTOR ASSEMBLY WITH ACTIVE COOLING</t>
  </si>
  <si>
    <t>H02K 5/20; H02K 9/19</t>
  </si>
  <si>
    <t>WO2025191599</t>
  </si>
  <si>
    <t>PCT/IN2025/050293</t>
  </si>
  <si>
    <t>28.02.2025</t>
  </si>
  <si>
    <t>WO/2025/191599</t>
  </si>
  <si>
    <t>18.09.2025</t>
  </si>
  <si>
    <t>AUTOMATED HANDLEBAR ADJUSTMENT IN A TWO-WHEELER</t>
  </si>
  <si>
    <t>B62K 21/16</t>
  </si>
  <si>
    <t>WO2025191600</t>
  </si>
  <si>
    <t>PCT/IN2025/050304</t>
  </si>
  <si>
    <t>03.03.2025</t>
  </si>
  <si>
    <t>WO/2025/191600</t>
  </si>
  <si>
    <t>A SYSTEM AND A METHOD FOR THERMAL MANAGEMENT OF BRAKE UNITS IN A VEHICLE</t>
  </si>
  <si>
    <t>B60T 5/00; F16D 65/847; B60H 1/00</t>
  </si>
  <si>
    <t>WO2025196822</t>
  </si>
  <si>
    <t>PCT/IN2025/050390</t>
  </si>
  <si>
    <t>18.03.2025</t>
  </si>
  <si>
    <t>WO/2025/196822</t>
  </si>
  <si>
    <t>25.09.2025</t>
  </si>
  <si>
    <t>A PROCESS OF PREPARING SPHERICAL METAL PHOSPHATES, AND IMPLEMENTATIONS THEREOF</t>
  </si>
  <si>
    <t>C25C 7/02; H01M 4/58; H01M 4/66; H01M 4/04; H01M 10/0525; H01M 10/052</t>
  </si>
  <si>
    <t>WO2025196813</t>
  </si>
  <si>
    <t>PCT/IN2025/050320</t>
  </si>
  <si>
    <t>WO/2025/196813</t>
  </si>
  <si>
    <t>FLOATING CONNECTOR DAMPER</t>
  </si>
  <si>
    <t>H01R 13/629</t>
  </si>
  <si>
    <t>EP464443960</t>
  </si>
  <si>
    <t>23894122</t>
  </si>
  <si>
    <t>4623134</t>
  </si>
  <si>
    <t>01.10.2025</t>
  </si>
  <si>
    <t>H01M 4/04; H01M 4/62</t>
  </si>
  <si>
    <t>EP464443647</t>
  </si>
  <si>
    <t>23894125</t>
  </si>
  <si>
    <t>4622852</t>
  </si>
  <si>
    <t>WO2025203053</t>
  </si>
  <si>
    <t>PCT/IN2025/050386</t>
  </si>
  <si>
    <t>WO/2025/203053</t>
  </si>
  <si>
    <t>02.10.2025</t>
  </si>
  <si>
    <t>A CURRENT COLLECTOR PLATE FOR A SECONDARY BATTERY CELL AND A METHOD OF ASSEMBLY THEREOF</t>
  </si>
  <si>
    <t>H01M 10/04; H01M 50/50; H01M 50/557; H01M 50/30</t>
  </si>
  <si>
    <t>WO2025203054</t>
  </si>
  <si>
    <t>PCT/IN2025/050389</t>
  </si>
  <si>
    <t>WO/2025/203054</t>
  </si>
  <si>
    <t>AN ELECTRODE, A JELLY ROLL AND PROCESSES THEREOF</t>
  </si>
  <si>
    <t>H01M 4/04; H01M 4/62; H01M 4/02; H01M 4/36; H01M 4/06; H01M 50/409</t>
  </si>
  <si>
    <t>WO2025203056</t>
  </si>
  <si>
    <t>PCT/IN2025/050397</t>
  </si>
  <si>
    <t>19.03.2025</t>
  </si>
  <si>
    <t>WO/2025/203056</t>
  </si>
  <si>
    <t>VEHICLE BATTERY CONNECTOR</t>
  </si>
  <si>
    <t>B60L 53/16; H02J 7/00; B60L 50/64; H01R 13/00</t>
  </si>
  <si>
    <t>WO2025210643</t>
  </si>
  <si>
    <t>PCT/IN2024/050599</t>
  </si>
  <si>
    <t>22.05.2024</t>
  </si>
  <si>
    <t>WO/2025/210643</t>
  </si>
  <si>
    <t>09.10.2025</t>
  </si>
  <si>
    <t>A PROCESS FOR PREPARING AN ELECTRODE FILM AND IMPLEMENTATIONS THEREOF</t>
  </si>
  <si>
    <t>C25D 17/10; C08K 3/04; H01M 4/139; H01M 4/62; H01M 10/0525</t>
  </si>
  <si>
    <t>WO2025210661</t>
  </si>
  <si>
    <t>PCT/IN2025/050461</t>
  </si>
  <si>
    <t>25.03.2025</t>
  </si>
  <si>
    <t>WO/2025/210661</t>
  </si>
  <si>
    <t>ESTIMATION OF INCLINATION ANGLE OF A VEHICLE</t>
  </si>
  <si>
    <t>B60W 40/076; B60W 40/13; B60W 40/10; G06N 20/00</t>
  </si>
  <si>
    <t>WO2025215657</t>
  </si>
  <si>
    <t>PCT/IN2025/050483</t>
  </si>
  <si>
    <t>26.03.2025</t>
  </si>
  <si>
    <t>WO/2025/215657</t>
  </si>
  <si>
    <t>16.10.2025</t>
  </si>
  <si>
    <t>AUTOMATED FOOTREST POSITIONING IN A TWO-WHEELER</t>
  </si>
  <si>
    <t>B62J 25/06</t>
  </si>
  <si>
    <t>WO2025229663</t>
  </si>
  <si>
    <t>PCT/IN2025/050631</t>
  </si>
  <si>
    <t>21.04.2025</t>
  </si>
  <si>
    <t>WO/2025/229663</t>
  </si>
  <si>
    <t>06.11.2025</t>
  </si>
  <si>
    <t>AUTOMATIC DEACTIVATION OF A TURN INDICATOR OF A VEHICLE</t>
  </si>
  <si>
    <t>B60Q 1/34; G01P 15/02; B60Q 1/40; B60Q 1/50</t>
  </si>
  <si>
    <t>WO2025233970</t>
  </si>
  <si>
    <t>PCT/IN2025/050727</t>
  </si>
  <si>
    <t>09.05.2025</t>
  </si>
  <si>
    <t>WO/2025/233970</t>
  </si>
  <si>
    <t>13.11.2025</t>
  </si>
  <si>
    <t>AN ELECTRODE COMPOSITE, AN ELECTRODE AND PROCESSES THEREOF</t>
  </si>
  <si>
    <t>C25B 11/00; H01M 4/62; H01M 4/60; H01M 4/36; H01M 4/13; H01M 4/04; H01M 10/052</t>
  </si>
  <si>
    <t>WO2025233974</t>
  </si>
  <si>
    <t>PCT/IN2025/050731</t>
  </si>
  <si>
    <t>WO/2025/233974</t>
  </si>
  <si>
    <t>AN ADHESIVE BINDER COMPOSITE, AN ELECTRODE COMPOSITE AND PREPARATION THEREOF</t>
  </si>
  <si>
    <t>B82Y 30/00; C08L 27/18; C09D 127/18; H01M 4/02; H01M 4/62</t>
  </si>
  <si>
    <t>US468863047</t>
  </si>
  <si>
    <t>18869784</t>
  </si>
  <si>
    <t>20250372595</t>
  </si>
  <si>
    <t>04.12.2025</t>
  </si>
  <si>
    <t>H01M 4/04; B01F 23/50; B01F 23/53; B01F 23/57; B01F 23/80; H01M 4/583; H01M 4/62</t>
  </si>
  <si>
    <t>US469224605</t>
  </si>
  <si>
    <t>18683061</t>
  </si>
  <si>
    <t>20250379339</t>
  </si>
  <si>
    <t>11.12.2025</t>
  </si>
  <si>
    <t>H01M 50/533; H01M 10/04; H01M 50/528; H01M 50/534</t>
  </si>
  <si>
    <t>WO2025257853</t>
  </si>
  <si>
    <t>PCT/IN2025/050880</t>
  </si>
  <si>
    <t>12.06.2025</t>
  </si>
  <si>
    <t>WO/2025/257853</t>
  </si>
  <si>
    <t>18.12.2025</t>
  </si>
  <si>
    <t>CATHODE ACTIVE MATERIAL COMPOSITE, CATHODE FOR LITHIUM-ION SECONDARY BATTERY AND DRY MANUFACTURING PROCESS THEREOF</t>
  </si>
  <si>
    <t>C25B 11/00; H01M 4/36; H01M 10/0525; H01M 4/505; H01M 4/02</t>
  </si>
  <si>
    <t>EP470480967</t>
  </si>
  <si>
    <t>24756493</t>
  </si>
  <si>
    <t>4666605</t>
  </si>
  <si>
    <t>24.12.2025</t>
  </si>
  <si>
    <t>WO2025262714</t>
  </si>
  <si>
    <t>PCT/IN2025/050905</t>
  </si>
  <si>
    <t>19.06.2025</t>
  </si>
  <si>
    <t>WO/2025/262714</t>
  </si>
  <si>
    <t>26.12.2025</t>
  </si>
  <si>
    <t>OPTIMIZED CHARGING OF ENERGY STORAGE DEVICES</t>
  </si>
  <si>
    <t>B60L 58/12; H02J 7/00; B60L 53/62; B60L 53/66; G01R 31/367; G06Q 50/06; G06Q 10/04</t>
  </si>
  <si>
    <t>WO2025262703</t>
  </si>
  <si>
    <t>PCT/IN2024/052238</t>
  </si>
  <si>
    <t>15.11.2024</t>
  </si>
  <si>
    <t>WO/2025/262703</t>
  </si>
  <si>
    <t>BATTERY COMPONENTS</t>
  </si>
  <si>
    <t>H01M 10/02; H01M 10/04; H01M 50/50; H01M 50/502; B60L 50/64</t>
  </si>
  <si>
    <t>WO2026038271</t>
  </si>
  <si>
    <t>PCT/IN2025/051262</t>
  </si>
  <si>
    <t>14.08.2025</t>
  </si>
  <si>
    <t>WO/2026/038271</t>
  </si>
  <si>
    <t>19.02.2026</t>
  </si>
  <si>
    <t>BUSBAR ASSEMBLY FOR THE BATTERY PACK</t>
  </si>
  <si>
    <t>H01M 50/50; H01M 50/507; H01M 50/543; H01M 50/509</t>
  </si>
  <si>
    <t>WO2026038286</t>
  </si>
  <si>
    <t>PCT/IN2025/051279</t>
  </si>
  <si>
    <t>WO/2026/038286</t>
  </si>
  <si>
    <t>DETERMINING TIRE PRESSURE VALUE OF A TIRE OF A VEHICLE</t>
  </si>
  <si>
    <t>G01L 17/00; B60C 23/04; B60C 23/06; B60C 23/20</t>
  </si>
  <si>
    <t>WO2026038272</t>
  </si>
  <si>
    <t>PCT/IN2025/051263</t>
  </si>
  <si>
    <t>WO/2026/038272</t>
  </si>
  <si>
    <t>ENERGY STORAGE DEVICES</t>
  </si>
  <si>
    <t>H01M 50/213; H01M 50/249; H01M 50/218; H01M 50/244</t>
  </si>
  <si>
    <t>WO2026038287</t>
  </si>
  <si>
    <t>PCT/IN2025/051280</t>
  </si>
  <si>
    <t>WO/2026/038287</t>
  </si>
  <si>
    <t>ADAPTIVE CRUISE CONTROL FOR A VEHICLE</t>
  </si>
  <si>
    <t>B60W 30/14; B60W 40/04; G06F 16/9038</t>
  </si>
  <si>
    <t>WO2026038281</t>
  </si>
  <si>
    <t>PCT/IN2025/051274</t>
  </si>
  <si>
    <t>WO/2026/038281</t>
  </si>
  <si>
    <t>MANAGING NOTIFICATIONS IN TWO-WHEELED VEHICLES</t>
  </si>
  <si>
    <t>H04W 4/40; B62M 25/00; B60K 37/00; G06F 3/0481</t>
  </si>
  <si>
    <t>WO2026038282</t>
  </si>
  <si>
    <t>PCT/IN2025/051275</t>
  </si>
  <si>
    <t>WO/2026/038282</t>
  </si>
  <si>
    <t>ADAPTIVE BOOST MODE IN ELECTRIC VEHICLES</t>
  </si>
  <si>
    <t>B06W 10/08; B06W 50/00; F02D 41/00; B06L 15/20; B06W 30/182; B06W 50/14</t>
  </si>
  <si>
    <t>WO2026038268</t>
  </si>
  <si>
    <t>PCT/IN2025/051259</t>
  </si>
  <si>
    <t>WO/2026/038268</t>
  </si>
  <si>
    <t>CASING FOR ELECTRIC VEHICLE FUNCTIONAL COMPONENTS</t>
  </si>
  <si>
    <t>B06R 16/023</t>
  </si>
  <si>
    <t>WO2026038283</t>
  </si>
  <si>
    <t>PCT/IN2025/051276</t>
  </si>
  <si>
    <t>WO/2026/038283</t>
  </si>
  <si>
    <t>AUDIO PLAYBACK VIA VEHICLE-INTEGRATED MEGAPHONES</t>
  </si>
  <si>
    <t>G10L 21/0208; H04R 1/10; H04R 3/00</t>
  </si>
  <si>
    <t>WO2026038269</t>
  </si>
  <si>
    <t>PCT/IN2025/051260</t>
  </si>
  <si>
    <t>WO/2026/038269</t>
  </si>
  <si>
    <t>ENERGY STORAGE ASSEMBLIES</t>
  </si>
  <si>
    <t>H01M 50/271; H01M 10/0525; H01M 50/20; H01M 50/249; H01M 50/509; H01M 50/242</t>
  </si>
  <si>
    <t>WO2026038284</t>
  </si>
  <si>
    <t>PCT/IN2025/051277</t>
  </si>
  <si>
    <t>WO/2026/038284</t>
  </si>
  <si>
    <t>USER-DEFINED DRIVING MODES OF A VEHICLE</t>
  </si>
  <si>
    <t>B60W 10/08; B60W 50/08; B60W 30/182; B60L 15/20</t>
  </si>
  <si>
    <t>WO2026038270</t>
  </si>
  <si>
    <t>PCT/IN2025/051261</t>
  </si>
  <si>
    <t>WO/2026/038270</t>
  </si>
  <si>
    <t>TEMPERATURE SENSING WITHIN A BATTERY PACK</t>
  </si>
  <si>
    <t>H01M 10/48; H01M 50/50; H01M 10/613; H01M 10/625</t>
  </si>
  <si>
    <t>WO2026038285</t>
  </si>
  <si>
    <t>PCT/IN2025/051278</t>
  </si>
  <si>
    <t>WO/2026/038285</t>
  </si>
  <si>
    <t>ADAPTIVE CHARGE SCHEDULING FOR ENERGY STORAGE DEVICES OF ELECTRIC VEHICLES</t>
  </si>
  <si>
    <t>B60L 53/62; B60L 58/12; H02J 7/04</t>
  </si>
  <si>
    <t>WO2026038273</t>
  </si>
  <si>
    <t>PCT/IN2025/051264</t>
  </si>
  <si>
    <t>WO/2026/038273</t>
  </si>
  <si>
    <t>THERMAL INSULATING SEPARATOR ASSEMBLY FOR BATTERY MODULES</t>
  </si>
  <si>
    <t>H01M 10/613; H01M 50/24; B33Y 80/00; H01M 10/04; H01M 50/491</t>
  </si>
  <si>
    <t>WO2026038274</t>
  </si>
  <si>
    <t>PCT/IN2025/051265</t>
  </si>
  <si>
    <t>WO/2026/038274</t>
  </si>
  <si>
    <t>INTEGRATED TERMINAL BOX IN BATTERY PACK OF ELECTRIC VEHICLES</t>
  </si>
  <si>
    <t>B60L 50/64; H01M 50/502; H01M 50/507; H01M 50/543</t>
  </si>
  <si>
    <t>WO2026038275</t>
  </si>
  <si>
    <t>PCT/IN2025/051266</t>
  </si>
  <si>
    <t>WO/2026/038275</t>
  </si>
  <si>
    <t>FRAME STRUCTURE FOR ELECTRIC VEHICLES</t>
  </si>
  <si>
    <t>B62J 43/28; B60K 1/04; B62K 11/00; H01M 50/20</t>
  </si>
  <si>
    <t>WO2026038276</t>
  </si>
  <si>
    <t>PCT/IN2025/051267</t>
  </si>
  <si>
    <t>WO/2026/038276</t>
  </si>
  <si>
    <t>BATTERY MODULE FOR A VEHICLE</t>
  </si>
  <si>
    <t>B60L 58/10</t>
  </si>
  <si>
    <t>WO2026038278</t>
  </si>
  <si>
    <t>PCT/IN2025/051271</t>
  </si>
  <si>
    <t>WO/2026/038278</t>
  </si>
  <si>
    <t>PARKING ASSIST FOR A VEHICLE</t>
  </si>
  <si>
    <t>B06W 30/06; B62K 23/04; B60K 6/48</t>
  </si>
  <si>
    <t>WO2026038279</t>
  </si>
  <si>
    <t>PCT/IN2025/051272</t>
  </si>
  <si>
    <t>WO/2026/038279</t>
  </si>
  <si>
    <t>MANAGING NAVIGATION IN TWO-WHEELED VEHICLES</t>
  </si>
  <si>
    <t>G01C 21/34; G01C 21/36; G08G 1/0968; G07C 5/00</t>
  </si>
  <si>
    <t>WO2026042105</t>
  </si>
  <si>
    <t>PCT/IN2025/051309</t>
  </si>
  <si>
    <t>22.08.2025</t>
  </si>
  <si>
    <t>WO/2026/042105</t>
  </si>
  <si>
    <t>26.02.2026</t>
  </si>
  <si>
    <t>BALANCING A TWO-WHEELED VEHICLE USING DYNAMIC REFERENCING</t>
  </si>
  <si>
    <t>B62D 37/06; B62J 45/412; B62J 45/414; B62J 45/415</t>
  </si>
  <si>
    <t>WO2026042107</t>
  </si>
  <si>
    <t>PCT/IN2025/051312</t>
  </si>
  <si>
    <t>WO/2026/042107</t>
  </si>
  <si>
    <t>COMBINED BRAKING MECHANISM FOR AN ELECTRIC VEHICLE AND AN ARRANGEMENT THEREOF</t>
  </si>
  <si>
    <t>B62L 3/08; B62L 3/04; B60T 7/04; B60T 11/06</t>
  </si>
  <si>
    <t>WO2026047683</t>
  </si>
  <si>
    <t>PCT/IN2024/052254</t>
  </si>
  <si>
    <t>19.11.2024</t>
  </si>
  <si>
    <t>WO/2026/047683</t>
  </si>
  <si>
    <t>05.03.2026</t>
  </si>
  <si>
    <t>A DRY CATHODE COMPOSITE AND PREPARATION THEREOF</t>
  </si>
  <si>
    <t>C01B 32/20; H01M 4/02; H01M 4/131; H01M 4/133; H01M 4/485; H01M 4/505; H01M 4/52; H01M 4/62</t>
  </si>
  <si>
    <t>WO2026047714</t>
  </si>
  <si>
    <t>PCT/IN2025/051330</t>
  </si>
  <si>
    <t>25.08.2025</t>
  </si>
  <si>
    <t>WO/2026/047714</t>
  </si>
  <si>
    <t>A BRAKING SYSTEM FOR A VEHICLE</t>
  </si>
  <si>
    <t>B62L 3/08; B60T 11/10</t>
  </si>
  <si>
    <t>WO2026047715</t>
  </si>
  <si>
    <t>PCT/IN2025/051332</t>
  </si>
  <si>
    <t>WO/2026/047715</t>
  </si>
  <si>
    <t>ARC FAULT DETECTION IN A VEHICLE</t>
  </si>
  <si>
    <t>B60L 3/00; H02H 1/00; G01R 31/50; H01H 9/50; G01R 23/16; G01R 31/00</t>
  </si>
  <si>
    <t>WO2026058206</t>
  </si>
  <si>
    <t>PCT/IB2025/059187</t>
  </si>
  <si>
    <t>12.09.2025</t>
  </si>
  <si>
    <t>WO/2026/058206</t>
  </si>
  <si>
    <t>19.03.2026</t>
  </si>
  <si>
    <t>AN INTEGRATED TRACTION INVERTER CURRENT DISTRIBUTION AND THERMAL MANAGEMENT SYSTEM</t>
  </si>
  <si>
    <t>H02K 11/33; H02K 9/19; H05K 1/02; H05K 7/20; H02K 7/00</t>
  </si>
  <si>
    <t>WO2026074385</t>
  </si>
  <si>
    <t>PCT/IB2025/059431</t>
  </si>
  <si>
    <t>19.09.2025</t>
  </si>
  <si>
    <t>WO/2026/074385</t>
  </si>
  <si>
    <t>09.04.2026</t>
  </si>
  <si>
    <t>A CYLINDRICAL CELL AND A METHOD FOR ASSEMBLING AN ELECTRODE ASSEMBLY FORMING THE CYLINDRICAL CELL</t>
  </si>
  <si>
    <t>H01M 10/00; H01M 10/04</t>
  </si>
  <si>
    <t>WO2026074575</t>
  </si>
  <si>
    <t>PCT/IN2025/051238</t>
  </si>
  <si>
    <t>12.08.2025</t>
  </si>
  <si>
    <t>WO/2026/074575</t>
  </si>
  <si>
    <t>A CURRENT COLLECTOR LID FOR A CYLINDRICAL BATTERY CELL</t>
  </si>
  <si>
    <t>H01M 10/04; H01M 4/00; H01M 50/50; H01M 50/30; H01M 50/107; H01M 50/152</t>
  </si>
  <si>
    <t>WO2026074576</t>
  </si>
  <si>
    <t>PCT/IN2025/051250</t>
  </si>
  <si>
    <t>13.08.2025</t>
  </si>
  <si>
    <t>WO/2026/074576</t>
  </si>
  <si>
    <t>LID FOR SECONDARY CELLS</t>
  </si>
  <si>
    <t>H01M 50/342; H01M 10/6556; H01M 50/211; H01M 50/224; H01M 50/276</t>
  </si>
  <si>
    <t>WO2026074586</t>
  </si>
  <si>
    <t>PCT/IN2025/051599</t>
  </si>
  <si>
    <t>WO/2026/074586</t>
  </si>
  <si>
    <t>BOTTOM LID OF A CYLINDRICAL BATTERY</t>
  </si>
  <si>
    <t>H01M 50/107; H01M 50/152; H01M 50/531</t>
  </si>
  <si>
    <t>WO2026078727</t>
  </si>
  <si>
    <t>PCT/IN2025/051635</t>
  </si>
  <si>
    <t>WO/2026/078727</t>
  </si>
  <si>
    <t>16.04.2026</t>
  </si>
  <si>
    <t>A METHOD OF FORMATION OF A SECONDARY BATTERY</t>
  </si>
  <si>
    <t>C25B 11/04; H01M 10/0567; H01M 4/525; H01M 10/0525; H01M 4/04</t>
  </si>
  <si>
    <t>WO2026078716</t>
  </si>
  <si>
    <t>PCT/IN2025/051617</t>
  </si>
  <si>
    <t>07.10.2025</t>
  </si>
  <si>
    <t>WO/2026/078716</t>
  </si>
  <si>
    <t>A METHOD FOR FORMATION OF A SOLID ELECTROLYTE INTERFACE (SEI) LAYER IN A BATTERY</t>
  </si>
  <si>
    <t>WO2026083438</t>
  </si>
  <si>
    <t>PCT/IN2025/051646</t>
  </si>
  <si>
    <t>13.10.2025</t>
  </si>
  <si>
    <t>WO/2026/083438</t>
  </si>
  <si>
    <t>23.04.2026</t>
  </si>
  <si>
    <t>SENSOR ASSEMBLY</t>
  </si>
  <si>
    <t>G01D 11/24; G01P 1/02</t>
  </si>
  <si>
    <t>WO2026083273</t>
  </si>
  <si>
    <t>PCT/IB2025/060468</t>
  </si>
  <si>
    <t>15.10.2025</t>
  </si>
  <si>
    <t>WO/2026/083273</t>
  </si>
  <si>
    <t>A PRINTED CIRCUIT BOARD AND A METHOD OF MANUFACTURING THEREOF</t>
  </si>
  <si>
    <t>H05K 1/02; H05K 1/14; H05K 1/18</t>
  </si>
  <si>
    <t>WO2026099894</t>
  </si>
  <si>
    <t>PCT/IN2025/051750</t>
  </si>
  <si>
    <t>07.11.2025</t>
  </si>
  <si>
    <t>WO/2026/099894</t>
  </si>
  <si>
    <t>15.05.2026</t>
  </si>
  <si>
    <t>A BINDER COMPOSITE, AN ELECTRODE AND PROCESS THEREOF</t>
  </si>
  <si>
    <t>C25B 11/04; C08K 3/04; C08L 27/18; C08L 27/16; H01M 4/62; H01M 4/04; B82Y 30/00; B82Y 40/00</t>
  </si>
  <si>
    <t>EP479949762</t>
  </si>
  <si>
    <t>24842621</t>
  </si>
  <si>
    <t>4743609</t>
  </si>
  <si>
    <t>20.05.2026</t>
  </si>
  <si>
    <t>C25B 11/00; B82Y 30/00; C08K 3/04; C08L 27/18; H01M 4/139; H01M 4/36; H01M 4/62</t>
  </si>
  <si>
    <t>EP480328154</t>
  </si>
  <si>
    <t>23945762</t>
  </si>
  <si>
    <t>4747312</t>
  </si>
  <si>
    <t>27.05.2026</t>
  </si>
  <si>
    <t>C08L 27/18; B29K 27/18; H01M 4/131; H01M 10/0525</t>
  </si>
  <si>
    <t>EP480328844</t>
  </si>
  <si>
    <t>23945764</t>
  </si>
  <si>
    <t>4747932</t>
  </si>
  <si>
    <t>H01M 50/567; H01M 10/04; H01M 50/152; H01M 50/517</t>
  </si>
  <si>
    <t>WO2026110172</t>
  </si>
  <si>
    <t>PCT/IN2025/051616</t>
  </si>
  <si>
    <t>WO/2026/110172</t>
  </si>
  <si>
    <t>28.05.2026</t>
  </si>
  <si>
    <t>ELECTRODE TERMINAL FOR A CYLINDRICAL BATTERY CELL</t>
  </si>
  <si>
    <t>H01M 4/00; H01M 10/052; H01M 50/179</t>
  </si>
  <si>
    <t>WO2026110204</t>
  </si>
  <si>
    <t>PCT/IN2025/051900</t>
  </si>
  <si>
    <t>21.11.2025</t>
  </si>
  <si>
    <t>WO/2026/110204</t>
  </si>
  <si>
    <t>BATTERY MONITORING BOARD ASSEMBLIES</t>
  </si>
  <si>
    <t>H01M 10/42; H01M 10/48; H05K 1/02; H01M 50/284</t>
  </si>
  <si>
    <t>WO2026110210</t>
  </si>
  <si>
    <t>PCT/IN2025/051924</t>
  </si>
  <si>
    <t>24.11.2025</t>
  </si>
  <si>
    <t>WO/2026/110210</t>
  </si>
  <si>
    <t>A BATTERY MODULE ASSEMBLY AND A BATTERY PACK MODULE</t>
  </si>
  <si>
    <t>H01M 50/50; H01M 50/505; H01M 50/516</t>
  </si>
  <si>
    <t>WO2026126011</t>
  </si>
  <si>
    <t>PCT/IB2025/062347</t>
  </si>
  <si>
    <t>03.12.2025</t>
  </si>
  <si>
    <t>WO/2026/126011</t>
  </si>
  <si>
    <t>18.06.2026</t>
  </si>
  <si>
    <t>A CELL ASSEMBLY AND A METHOD FOR MANUFACTURING THE CELL ASSEMBLY</t>
  </si>
  <si>
    <t>B21D 51/44; H01M 10/04; H01M 50/10; H01M 10/05</t>
  </si>
  <si>
    <t>WO2026126133</t>
  </si>
  <si>
    <t>PCT/IB2025/062707</t>
  </si>
  <si>
    <t>WO/2026/126133</t>
  </si>
  <si>
    <t>RIVET WITH SNAP FIT JOINT</t>
  </si>
  <si>
    <t>H01M 50/567; H01M 50/188</t>
  </si>
  <si>
    <t>WO2026125960</t>
  </si>
  <si>
    <t>PCT/IB2025/061122</t>
  </si>
  <si>
    <t>31.10.2025</t>
  </si>
  <si>
    <t>WO/2026/125960</t>
  </si>
  <si>
    <t>A TWO-PART TERMINAL ASSEMBLY FOR A SECONDARY BATTERY CELL</t>
  </si>
  <si>
    <t>H01M 50/543; H01M 50/559; H01M 10/04; H01M 50/566</t>
  </si>
  <si>
    <t>WO2026140001</t>
  </si>
  <si>
    <t>PCT/IN2025/052136</t>
  </si>
  <si>
    <t>WO/2026/140001</t>
  </si>
  <si>
    <t>02.07.2026</t>
  </si>
  <si>
    <t>AN ELECTROLYTE FOR LITHIUM-ION BATTERY</t>
  </si>
  <si>
    <t>C01D 15/00; H01M 10/0564; H01M 10/0567; H01M 10/0568; H01M 10/0569; H01M 10/052</t>
  </si>
  <si>
    <t>US483160761</t>
  </si>
  <si>
    <t>18868527</t>
  </si>
  <si>
    <t>20260196464</t>
  </si>
  <si>
    <t>09.07.2026</t>
  </si>
  <si>
    <t>H01M 4/04; H01M 4/131; H01M 4/62; H01M 10/0569</t>
  </si>
  <si>
    <t>US483160820</t>
  </si>
  <si>
    <t>18868455</t>
  </si>
  <si>
    <t>20260196517</t>
  </si>
  <si>
    <t>H01M 4/62; H01M 4/02; H01M 4/131; H01M 4/136; H01M 4/1391; H01M 4/1397; H01M 4/505; H01M 4/525; H01M 4/58</t>
  </si>
  <si>
    <t>WO2026163223</t>
  </si>
  <si>
    <t>PCT/IN2026/050120</t>
  </si>
  <si>
    <t>23.01.2026</t>
  </si>
  <si>
    <t>WO/2026/163223</t>
  </si>
  <si>
    <t>06.08.2026</t>
  </si>
  <si>
    <t>REGENERATIVE BRAKE ACTIVATION</t>
  </si>
  <si>
    <t>B60L 7/10; B60W 30/18</t>
  </si>
  <si>
    <t>US484650326</t>
  </si>
  <si>
    <t>19157208</t>
  </si>
  <si>
    <t>20260238971</t>
  </si>
  <si>
    <t>13.08.2026</t>
  </si>
  <si>
    <t>H04W 4/46; B60W 10/22; B60W 10/30; B60W 50/08; B60W 50/14; G06F 3/16; G07C 5/02</t>
  </si>
  <si>
    <t>WO2026172371</t>
  </si>
  <si>
    <t>PCT/IN2026/050231</t>
  </si>
  <si>
    <t>12.02.2026</t>
  </si>
  <si>
    <t>WO/2026/172371</t>
  </si>
  <si>
    <t>20.08.2026</t>
  </si>
  <si>
    <t>CHARGER ASSEMBLIES FOR ELECTRIC VEHICLES</t>
  </si>
  <si>
    <t>B60L 53/22; B60L 53/302</t>
  </si>
  <si>
    <t>WO2026172284</t>
  </si>
  <si>
    <t>PCT/IB2026/051398</t>
  </si>
  <si>
    <t>13.02.2026</t>
  </si>
  <si>
    <t>WO/2026/172284</t>
  </si>
  <si>
    <t>A BATTERY VENTING AND DIFFUSION ASSEMBLY FOR AN ELECTRIC VEHICLE</t>
  </si>
  <si>
    <t>H01M 50/342; H01M 50/30; H01M 10/52</t>
  </si>
  <si>
    <t>WO2026172363</t>
  </si>
  <si>
    <t>PCT/IN2026/050207</t>
  </si>
  <si>
    <t>09.02.2026</t>
  </si>
  <si>
    <t>WO/2026/172363</t>
  </si>
  <si>
    <t>AN ELECTRODE COMPOSITE AND PREPARATION THEREOF</t>
  </si>
  <si>
    <t>C25B 11/04; H01M 4/62; H01M 4/02; H01M 4/04; H01M 4/36</t>
  </si>
  <si>
    <t>WO2026176467</t>
  </si>
  <si>
    <t>PCT/IN2026/050279</t>
  </si>
  <si>
    <t>18.02.2026</t>
  </si>
  <si>
    <t>WO/2026/176467</t>
  </si>
  <si>
    <t>27.08.2026</t>
  </si>
  <si>
    <t>A CATHODE COMPOSITE, A LITHIUM-ION BATTERY AND PROCESSES THEREOF</t>
  </si>
  <si>
    <t>C25B 11/04; H01M 4/02; H01M 4/04; H01M 4/485; H01M 4/505; H01M 4/58; H01M 4/583; H01M 4/62; H01M 4/133</t>
  </si>
  <si>
    <t>DE485893907</t>
  </si>
  <si>
    <t>112023007059</t>
  </si>
  <si>
    <t>03.09.2026</t>
  </si>
  <si>
    <t>DE</t>
  </si>
  <si>
    <t>VERFAHREN ZUR HERSTELLUNG EINER ELEKTRODE</t>
  </si>
  <si>
    <t>H01M 4/139; H01M 4/62; H01M 4/36; H01M 4/133</t>
  </si>
  <si>
    <t>WO2026185889</t>
  </si>
  <si>
    <t>PCT/IN2026/050394</t>
  </si>
  <si>
    <t>WO/2026/185889</t>
  </si>
  <si>
    <t>10.09.2026</t>
  </si>
  <si>
    <t>A CATHODE ACTIVE MATERIAL AND PROCESS THEREOF</t>
  </si>
  <si>
    <t>H01M 4/505; H01M 4/525; H01M 10/052; H01M 4/36; H01M 4/131; H01M 4/62; H01M 4/02</t>
  </si>
  <si>
    <t>WO2026215915</t>
  </si>
  <si>
    <t>PCT/IN2026/050639</t>
  </si>
  <si>
    <t>07.04.2026</t>
  </si>
  <si>
    <t>WO/2026/215915</t>
  </si>
  <si>
    <t>15.10.2026</t>
  </si>
  <si>
    <t>AN ACTIVE MATERIAL, AN ELECTRODE COMPOSITE AND PREPARATIONS THEREOF</t>
  </si>
  <si>
    <t>H01M 4/134; H01M 4/48; H01M 4/36; H01M 4/38; H01M 4/62</t>
  </si>
  <si>
    <t>03_Ather_Energy_raw.xls</t>
  </si>
  <si>
    <t>IN453983529</t>
  </si>
  <si>
    <t>202341065935</t>
  </si>
  <si>
    <t>30.09.2023</t>
  </si>
  <si>
    <t>04.04.2025</t>
  </si>
  <si>
    <t>ELECTRIC POWER SUPPLY DEVICE AND METHOD OF OPERATION THEREOF</t>
  </si>
  <si>
    <t>B60L 53/00; B60L 53/10; B60L 53/60; H02J 7/02; H02J 7/06; H02M 1/00; H02M 1/10; H02M 7/219</t>
  </si>
  <si>
    <t>Ather Energy Limited</t>
  </si>
  <si>
    <t>19.10.2026 06:19:49</t>
  </si>
  <si>
    <t>WO2026069090</t>
  </si>
  <si>
    <t>PCT/IB2025/059436</t>
  </si>
  <si>
    <t>WO/2026/069090</t>
  </si>
  <si>
    <t>02.04.2026</t>
  </si>
  <si>
    <t>SYSTEMS AND METHODS FOR THERMAL MANAGEMENT OF A BATTERY PACK</t>
  </si>
  <si>
    <t>H01M 10/635; H01M 10/613; H02J 7/00</t>
  </si>
  <si>
    <t>ATHER ENERGY LIMITED</t>
  </si>
  <si>
    <t>WO2025088588</t>
  </si>
  <si>
    <t>PCT/IB2024/060557</t>
  </si>
  <si>
    <t>26.10.2024</t>
  </si>
  <si>
    <t>WO/2025/088588</t>
  </si>
  <si>
    <t>METHOD AND SYSTEM FOR BALANCING BATTERY PACK OF ELECTRIC VEHICLE</t>
  </si>
  <si>
    <t>B60L 58/22; H02J 7/00; H01M 10/42; G01R 31/367; G01R 31/382; G01R 31/396</t>
  </si>
  <si>
    <t>ID484164954</t>
  </si>
  <si>
    <t>P00202605069</t>
  </si>
  <si>
    <t>2026/04336</t>
  </si>
  <si>
    <t>25.05.2026</t>
  </si>
  <si>
    <t>ID</t>
  </si>
  <si>
    <t>H01M 10/42; H02J 7/00; B60L 58/22; G01R 31/396; G01R 31/382; G01R 31/367</t>
  </si>
  <si>
    <t>WO2025181534</t>
  </si>
  <si>
    <t>PCT/IB2024/060586</t>
  </si>
  <si>
    <t>28.10.2024</t>
  </si>
  <si>
    <t>WO/2025/181534</t>
  </si>
  <si>
    <t>04.09.2025</t>
  </si>
  <si>
    <t>APPARATUS AND METHOD FOR MANAGING A CHARGING CONNECTOR</t>
  </si>
  <si>
    <t>B60L 53/16; H01R 13/639</t>
  </si>
  <si>
    <t>WO2026210211</t>
  </si>
  <si>
    <t>PCT/IB2025/059441</t>
  </si>
  <si>
    <t>WO/2026/210211</t>
  </si>
  <si>
    <t>08.10.2026</t>
  </si>
  <si>
    <t>SYSTEM AND METHOD FOR CONTROLLING A POWER DISTRIBUTION UNIT IN A VEHICLE</t>
  </si>
  <si>
    <t>H04W 4/40; B60L 53/14; B60R 16/033; H02J 76/00</t>
  </si>
  <si>
    <t>WO2025094003</t>
  </si>
  <si>
    <t>PCT/IB2024/060475</t>
  </si>
  <si>
    <t>24.10.2024</t>
  </si>
  <si>
    <t>WO/2025/094003</t>
  </si>
  <si>
    <t>A SYSTEM FOR WEAR DETECTION OF A HELMET AND A METHOD THEROF</t>
  </si>
  <si>
    <t>H04B 1/3827; A42B 3/04; G08B 21/18</t>
  </si>
  <si>
    <t>WO2026083159</t>
  </si>
  <si>
    <t>PCT/IB2025/059262</t>
  </si>
  <si>
    <t>16.09.2025</t>
  </si>
  <si>
    <t>WO/2026/083159</t>
  </si>
  <si>
    <t>METHOD AND SYSTEM FOR THERMAL MANAGEMENT OF A VEHICLE</t>
  </si>
  <si>
    <t>B60L 58/24; H01M 10/625</t>
  </si>
  <si>
    <t>WO2026146322</t>
  </si>
  <si>
    <t>PCT/IB2025/059425</t>
  </si>
  <si>
    <t>01.12.2025</t>
  </si>
  <si>
    <t>WO/2026/146322</t>
  </si>
  <si>
    <t>A SYSTEM TO CONTROL TRACTION OF A VEHICLE AND METHODS THEREOF</t>
  </si>
  <si>
    <t>B60W 30/18; B60K 28/16; B60T 8/175</t>
  </si>
  <si>
    <t>WO2026125951</t>
  </si>
  <si>
    <t>PCT/IB2025/059440</t>
  </si>
  <si>
    <t>WO/2026/125951</t>
  </si>
  <si>
    <t>A GEAR SHIFTER SYSTEM FOR ACHIEVING MIXED TRANSMISSION MODES IN A SADDLE TYPE VEHICLE</t>
  </si>
  <si>
    <t>F16H 61/02; F16H 63/18</t>
  </si>
  <si>
    <t>WO2026115326</t>
  </si>
  <si>
    <t>PCT/IB2025/059437</t>
  </si>
  <si>
    <t>WO/2026/115326</t>
  </si>
  <si>
    <t>04.06.2026</t>
  </si>
  <si>
    <t>SYSTEM AND METHOD FOR ADJUSTING A CHARGING RATE OF AN ENERGY STORAGE DEVICE</t>
  </si>
  <si>
    <t>B60L 53/10; B60L 58/13; B60L 53/62; B60L 53/64; H02J 7/82; G05B 11/42</t>
  </si>
  <si>
    <t>WO2026027935</t>
  </si>
  <si>
    <t>PCT/IB2024/060587</t>
  </si>
  <si>
    <t>WO/2026/027935</t>
  </si>
  <si>
    <t>05.02.2026</t>
  </si>
  <si>
    <t>SYSTEM AND METHOD FOR PERFORMING CONTROLLED POWER STAGE OFF OF A MOTOR</t>
  </si>
  <si>
    <t>H02P 21/22; H02P 25/22; H02P 27/12; H02P 29/028; G06F 1/3296; G06F 1/30</t>
  </si>
  <si>
    <t>WO2025262467</t>
  </si>
  <si>
    <t>PCT/IB2024/060461</t>
  </si>
  <si>
    <t>WO/2025/262467</t>
  </si>
  <si>
    <t>SYSTEM AND METHOD FOR CONTROLLING AN OPERATIONAL MODE OF A VEHICLE</t>
  </si>
  <si>
    <t>B60W 10/08; B60W 10/06; B60L 15/20</t>
  </si>
  <si>
    <t>WO2026027934</t>
  </si>
  <si>
    <t>PCT/IB2024/060519</t>
  </si>
  <si>
    <t>25.10.2024</t>
  </si>
  <si>
    <t>WO/2026/027934</t>
  </si>
  <si>
    <t>SYSTEM AND METHOD FOR IMPLEMENTATION OF AN ANALOG FRONT END (AFE) FRAMEWORK</t>
  </si>
  <si>
    <t>G01R 31/396; G01R 31/367; H01M 10/42; H01M 10/48</t>
  </si>
  <si>
    <t>WO2026162989</t>
  </si>
  <si>
    <t>PCT/IB2025/059424</t>
  </si>
  <si>
    <t>WO/2026/162989</t>
  </si>
  <si>
    <t>A SYSTEM TO IDENTIFY HEALTH STATUS OF SWITCHING UNITS IN ELECTRIC VEHICLE AND METHODS THEREOF</t>
  </si>
  <si>
    <t>G01R 31/00; B60L 3/00; B60L 58/10; G01R 31/327; H02J 7/00</t>
  </si>
  <si>
    <t>WO2026180860</t>
  </si>
  <si>
    <t>PCT/IB2025/059421</t>
  </si>
  <si>
    <t>WO/2026/180860</t>
  </si>
  <si>
    <t>AN AUTOMATIC DUAL-STAGE POWER TRANSMISSION SYSTEM AND AN ASSOCIATED METHOD OF OPERATION</t>
  </si>
  <si>
    <t>B60W 10/10; F16H 37/04</t>
  </si>
  <si>
    <t>WO2026087964</t>
  </si>
  <si>
    <t>PCT/IB2025/059430</t>
  </si>
  <si>
    <t>WO/2026/087964</t>
  </si>
  <si>
    <t>30.04.2026</t>
  </si>
  <si>
    <t>SYSTEM AND METHOD FOR MANAGING POWER SUPPLY TO A CONTROL SECTION</t>
  </si>
  <si>
    <t>H02J 7/00; B60L 1/00; G06F 1/26; B60R 16/03</t>
  </si>
  <si>
    <t>WO2026003570</t>
  </si>
  <si>
    <t>PCT/IB2024/060472</t>
  </si>
  <si>
    <t>WO/2026/003570</t>
  </si>
  <si>
    <t>02.01.2026</t>
  </si>
  <si>
    <t>A POWER DISTRIBUTION SYSTEM FOR ELECTRIC VEHICLES</t>
  </si>
  <si>
    <t>B60R 16/03; B60L 1/00; B60L 58/10</t>
  </si>
  <si>
    <t>WO2025163357</t>
  </si>
  <si>
    <t>PCT/IB2024/060471</t>
  </si>
  <si>
    <t>WO/2025/163357</t>
  </si>
  <si>
    <t>07.08.2025</t>
  </si>
  <si>
    <t>A SYSTEM AND METHOD FOR GENERATING DYNAMIC FEEDBACK IN A THROTTLE HANDLE OF A VEHICLE</t>
  </si>
  <si>
    <t>B60W 50/16; B62K 23/04; F02D 11/10</t>
  </si>
  <si>
    <t>ID234858528</t>
  </si>
  <si>
    <t>P00201805432</t>
  </si>
  <si>
    <t>27.01.2017</t>
  </si>
  <si>
    <t>2018/12680</t>
  </si>
  <si>
    <t>07.12.2018</t>
  </si>
  <si>
    <t>A SYSTEM AND METHOD FOR VEHICLE STATE DETECTION</t>
  </si>
  <si>
    <t>B60R 25/00; G08B 25/00</t>
  </si>
  <si>
    <t>ATHER ENERGY PVT.LTD.</t>
  </si>
  <si>
    <t>WO2026180858</t>
  </si>
  <si>
    <t>PCT/IB2025/059408</t>
  </si>
  <si>
    <t>WO/2026/180858</t>
  </si>
  <si>
    <t>SYSTEM(S) AND METHOD(S) TO GENERATE SENSORY FEEDBACK EMULATING POWERTRAIN OPERATION IN AN ELECTRIC VEHICLE</t>
  </si>
  <si>
    <t>B60W 10/10</t>
  </si>
  <si>
    <t>WO2025094015</t>
  </si>
  <si>
    <t>PCT/IB2024/060560</t>
  </si>
  <si>
    <t>WO/2025/094015</t>
  </si>
  <si>
    <t>SYSTEM AND METHOD FOR OPTIMIZING ELECTRICAL LOAD IN MULTI-LEVEL STRUCTURES FOR CHARGING ELECTRIC VEHICLES</t>
  </si>
  <si>
    <t>B60L 53/10; B60L 53/60; B60L 53/65; B60L 53/66; B60L 53/64</t>
  </si>
  <si>
    <t>ID484165697</t>
  </si>
  <si>
    <t>P00202605274</t>
  </si>
  <si>
    <t>2026/05422</t>
  </si>
  <si>
    <t>01.07.2026</t>
  </si>
  <si>
    <t>B60L 53/60; B60L 53/65; B60L 53/64; B60L 53/66; B60L 53/10</t>
  </si>
  <si>
    <t>VN485902568</t>
  </si>
  <si>
    <t>1202604132</t>
  </si>
  <si>
    <t>126680</t>
  </si>
  <si>
    <t>HỆ THỐNG VÀ PHƯƠNG PHÁP ĐỂ TỐI ƯU HÓA TẢI ĐIỆN TRONG CẤU TRÚC NHIỀU TẦNG ĐỂ SẠC XE ĐIỆN</t>
  </si>
  <si>
    <t>B60L 53/10; B60L 53/60; B60L 53/64; B60L 53/65; B60L 53/66</t>
  </si>
  <si>
    <t>WO2026180859</t>
  </si>
  <si>
    <t>PCT/IB2025/059411</t>
  </si>
  <si>
    <t>WO/2026/180859</t>
  </si>
  <si>
    <t>A SYSTEM AND METHOD FOR MANAGING OPERATION OF PASSIVE BALANCING CIRCUITS WITHIN BATTERY BANK</t>
  </si>
  <si>
    <t>B60L 58/22; H01M 10/42; H01M 10/48; H02J 7/00; H02J 7/54</t>
  </si>
  <si>
    <t>WO2025243076</t>
  </si>
  <si>
    <t>PCT/IB2024/060488</t>
  </si>
  <si>
    <t>WO/2025/243076</t>
  </si>
  <si>
    <t>27.11.2025</t>
  </si>
  <si>
    <t>SYSTEM AND METHOD FOR SUPPLYING ELECTRICAL POWER TO PERIPHERAL COMPONENTS OF ELECTRIC VEHICLES</t>
  </si>
  <si>
    <t>B60R 16/03; B60L 1/00; B60L 50/60</t>
  </si>
  <si>
    <t>WO2026115327</t>
  </si>
  <si>
    <t>PCT/IB2025/059439</t>
  </si>
  <si>
    <t>WO/2026/115327</t>
  </si>
  <si>
    <t>A SYSTEM AND METHOD FOR MANAGING GEAR SHIFTS IN VEHICLE</t>
  </si>
  <si>
    <t>B60W 10/11; F16H 59/14; F16H 61/24</t>
  </si>
  <si>
    <t>IN211825758</t>
  </si>
  <si>
    <t>201641001796</t>
  </si>
  <si>
    <t>18.01.2016</t>
  </si>
  <si>
    <t>17.11.2017</t>
  </si>
  <si>
    <t>SWING ARM ASSEMBLY FOR AUTOMOTIVE VEHICLES</t>
  </si>
  <si>
    <t>B01D 53/00</t>
  </si>
  <si>
    <t>Ather Energy Pvt. Ltd.,</t>
  </si>
  <si>
    <t>IN214108323</t>
  </si>
  <si>
    <t>201641032017</t>
  </si>
  <si>
    <t>20.09.2016</t>
  </si>
  <si>
    <t>23.03.2018</t>
  </si>
  <si>
    <t>“AN INTEGRATED FUSE CONNECTOR”</t>
  </si>
  <si>
    <t>H01H 85/00</t>
  </si>
  <si>
    <t>IN453983084</t>
  </si>
  <si>
    <t>202341065987</t>
  </si>
  <si>
    <t>COMBINED BRAKING SYSTEM AND METHOD THEREOF</t>
  </si>
  <si>
    <t>B60T /; F16H /; B60T /; B60T /; F16D /</t>
  </si>
  <si>
    <t>IN453983514</t>
  </si>
  <si>
    <t>202341065772</t>
  </si>
  <si>
    <t>29.09.2023</t>
  </si>
  <si>
    <t>AN ACTUATION SYSTEM FOR A SADDLE-TYPE VEHICLE</t>
  </si>
  <si>
    <t>B60T /; B60T /; B62K /; B60T /; B60W /</t>
  </si>
  <si>
    <t>WO2026139736</t>
  </si>
  <si>
    <t>PCT/IB2025/059417</t>
  </si>
  <si>
    <t>WO/2026/139736</t>
  </si>
  <si>
    <t>SYSTEM AND METHOD FOR SECURING COMMUNICATION BETWEEN ELECTRONIC CONTROL UNITS</t>
  </si>
  <si>
    <t>H04L 67/12; H04L 12/40; B60R 16/023</t>
  </si>
  <si>
    <t>IN214955049</t>
  </si>
  <si>
    <t>201641032884</t>
  </si>
  <si>
    <t>27.09.2016</t>
  </si>
  <si>
    <t>30.03.2018</t>
  </si>
  <si>
    <t>"APPARATUS FOR A BATTERY CASING"</t>
  </si>
  <si>
    <t>H01M 2/02</t>
  </si>
  <si>
    <t>IN283283561</t>
  </si>
  <si>
    <t>201841022387</t>
  </si>
  <si>
    <t>14.06.2018</t>
  </si>
  <si>
    <t>20.12.2019</t>
  </si>
  <si>
    <t>“ENERGY REPLENSHING INFRASTRUCTURE”</t>
  </si>
  <si>
    <t>G08G /; G01S /; F16G /; F24T /; G08G /</t>
  </si>
  <si>
    <t>ATHER ENERGY PVT. LTD</t>
  </si>
  <si>
    <t>WO2018037325</t>
  </si>
  <si>
    <t>PCT/IB2017/055034</t>
  </si>
  <si>
    <t>21.08.2017</t>
  </si>
  <si>
    <t>WO/2018/037325</t>
  </si>
  <si>
    <t>01.03.2018</t>
  </si>
  <si>
    <t>REMOTELY UPDATING A FIRST RESTRICTED AREA AND A SECOND RESTRICTED AREA FOR A VEHICLE</t>
  </si>
  <si>
    <t>G06Q 50/14; G06Q 50/30; G01C 21/00; G04D 1/08</t>
  </si>
  <si>
    <t>ATHER ENERGY PVT. LTD.</t>
  </si>
  <si>
    <t>WO2025163358</t>
  </si>
  <si>
    <t>PCT/IB2024/060490</t>
  </si>
  <si>
    <t>WO/2025/163358</t>
  </si>
  <si>
    <t>A SYSTEM AND METHOD FOR ESTIMATING CHARGING TIME OF A BATTERY</t>
  </si>
  <si>
    <t>G01R 31/36; G01R 31/367; G01R 31/396; G01R 31/382; G06Q 50/06</t>
  </si>
  <si>
    <t>WO2025248300</t>
  </si>
  <si>
    <t>PCT/IB2024/060487</t>
  </si>
  <si>
    <t>WO/2025/248300</t>
  </si>
  <si>
    <t>A SYSTEM AND METHOD FOR CONTROLLING BRAKING IN A SADDLE-TYPE VEHICLE</t>
  </si>
  <si>
    <t>B60T 8/171; B60T 8/172</t>
  </si>
  <si>
    <t>WO2025202704</t>
  </si>
  <si>
    <t>PCT/IB2024/060476</t>
  </si>
  <si>
    <t>WO/2025/202704</t>
  </si>
  <si>
    <t>A SYSTEM AND METHOD FOR GENERATING A DYNAMIC FEEDBACK IN A TWO-WHEELED VEHICLE</t>
  </si>
  <si>
    <t>B60K 35/10; B60W 50/16; B60W 50/14</t>
  </si>
  <si>
    <t>IN219411890</t>
  </si>
  <si>
    <t>201641036491</t>
  </si>
  <si>
    <t>25.10.2016</t>
  </si>
  <si>
    <t>27.04.2018</t>
  </si>
  <si>
    <t>SYSTEM AND METHOD OF MATERIAL INJECTION</t>
  </si>
  <si>
    <t>H01M 2/36</t>
  </si>
  <si>
    <t>IN275747333</t>
  </si>
  <si>
    <t>201841025556</t>
  </si>
  <si>
    <t>09.07.2018</t>
  </si>
  <si>
    <t>02.08.2019</t>
  </si>
  <si>
    <t>A SYSTEM AND METHOD FOR CHARGING AN ENERGY STORAGE UNIT</t>
  </si>
  <si>
    <t>H02J 7/00</t>
  </si>
  <si>
    <t>IN366092475</t>
  </si>
  <si>
    <t>201941018441</t>
  </si>
  <si>
    <t>08.05.2019</t>
  </si>
  <si>
    <t>13.11.2020</t>
  </si>
  <si>
    <t>SWITCHED MODE POWER SUPPLY SUITABLE FOR USE IN A POWER DISTRIBUTION UNIT FOR ELECTRIC OR HYBRID VEHICLES</t>
  </si>
  <si>
    <t>C07D /; C07D /; C07D /; H01L /; B60W /</t>
  </si>
  <si>
    <t>IN224135295</t>
  </si>
  <si>
    <t>201741020339</t>
  </si>
  <si>
    <t>09.06.2017</t>
  </si>
  <si>
    <t>27.07.2018</t>
  </si>
  <si>
    <t>“CHARGER SOCKET OF A CHARGING CONNECTOR FOR ELECTRIC VEHICLES”</t>
  </si>
  <si>
    <t>H01F 38/14; H02J 7/02</t>
  </si>
  <si>
    <t>IN376064485</t>
  </si>
  <si>
    <t>202141012688</t>
  </si>
  <si>
    <t>24.03.2021</t>
  </si>
  <si>
    <t>30.09.2022</t>
  </si>
  <si>
    <t>A FOOTPEG ASSEMBLY</t>
  </si>
  <si>
    <t>B62J /; A62B /; E05B /; E05F /; B25B /</t>
  </si>
  <si>
    <t>IN211809835</t>
  </si>
  <si>
    <t>201741017202</t>
  </si>
  <si>
    <t>16.05.2017</t>
  </si>
  <si>
    <t>02.06.2017</t>
  </si>
  <si>
    <t>SYSTEM AND METHOD OF CONTACTLESS BRAKING DETECTION FOR A VEHICLE</t>
  </si>
  <si>
    <t>B60T 7/12; B60T 8/172</t>
  </si>
  <si>
    <t>Ather Energy Private Limited</t>
  </si>
  <si>
    <t>IN298658086</t>
  </si>
  <si>
    <t>201741042680</t>
  </si>
  <si>
    <t>28.11.2017</t>
  </si>
  <si>
    <t>03.07.2020</t>
  </si>
  <si>
    <t>MEGA-MOUNTS FOR HEADSTOCK OF A TWO-WHEELER VEHICLE</t>
  </si>
  <si>
    <t>F16H /; A47G /; H05K /; F28F /; B60R /</t>
  </si>
  <si>
    <t>IN350376471</t>
  </si>
  <si>
    <t>202041032904</t>
  </si>
  <si>
    <t>31.07.2020</t>
  </si>
  <si>
    <t>04.02.2022</t>
  </si>
  <si>
    <t>“A BATTERY MODULE”</t>
  </si>
  <si>
    <t>H01M /; H01M /; H02J /; H01M /; H01M /</t>
  </si>
  <si>
    <t>IN381054276</t>
  </si>
  <si>
    <t>202141024886</t>
  </si>
  <si>
    <t>04.06.2021</t>
  </si>
  <si>
    <t>ADJUSTABLE MOTOR MOUNTING FRAME</t>
  </si>
  <si>
    <t>B62D /; H01M /; B60N /; B60K /; A47C /</t>
  </si>
  <si>
    <t>IN435570273</t>
  </si>
  <si>
    <t>202041044862</t>
  </si>
  <si>
    <t>15.10.2020</t>
  </si>
  <si>
    <t>SYSTEM AND METHOD TO UTILIZE MECHANICAL MOTION ON A WIRE HARNESS FOR VEHICLE OPERATIONS</t>
  </si>
  <si>
    <t>B60R /; G07C /; G06F /; G06F /; G06F /</t>
  </si>
  <si>
    <t>IN242645394</t>
  </si>
  <si>
    <t>201741041063</t>
  </si>
  <si>
    <t>16.11.2017</t>
  </si>
  <si>
    <t>17.05.2019</t>
  </si>
  <si>
    <t>“A STEERING HANDLE FOR AN AUTOMOTIVE VEHICLE”</t>
  </si>
  <si>
    <t>B62D 1/00</t>
  </si>
  <si>
    <t>IN241090435</t>
  </si>
  <si>
    <t>201641022635</t>
  </si>
  <si>
    <t>01.07.2016</t>
  </si>
  <si>
    <t>22.03.2019</t>
  </si>
  <si>
    <t>A MODULAR CASING FOR AUTOMOTIVE VEHICLE CHARGER</t>
  </si>
  <si>
    <t>B60N 2/00</t>
  </si>
  <si>
    <t>IN275740209</t>
  </si>
  <si>
    <t>201741045820</t>
  </si>
  <si>
    <t>20.12.2017</t>
  </si>
  <si>
    <t>28.06.2019</t>
  </si>
  <si>
    <t>A FRAME ASSEMBLY FOR A TWO-WHEELER VEHICLE</t>
  </si>
  <si>
    <t>B62K 11/04; B62K 11/06</t>
  </si>
  <si>
    <t>IN293055883</t>
  </si>
  <si>
    <t>201941013549</t>
  </si>
  <si>
    <t>04.04.2019</t>
  </si>
  <si>
    <t>10.04.2020</t>
  </si>
  <si>
    <t>A FIXED FREQUENCY RESONANT CONVERTER</t>
  </si>
  <si>
    <t>A23K /; C12P /; B82Y /; C22B /; C08L /</t>
  </si>
  <si>
    <t>IN212391696</t>
  </si>
  <si>
    <t>201641003333</t>
  </si>
  <si>
    <t>29.07.2016</t>
  </si>
  <si>
    <t>02.02.2018</t>
  </si>
  <si>
    <t>SYSTEM AND METHOD OF GATHERING TERRAIN INFORMATION</t>
  </si>
  <si>
    <t>G01C 11/00</t>
  </si>
  <si>
    <t>WO2018020471</t>
  </si>
  <si>
    <t>PCT/IB2017/054606</t>
  </si>
  <si>
    <t>28.07.2017</t>
  </si>
  <si>
    <t>WO/2018/020471</t>
  </si>
  <si>
    <t>01.02.2018</t>
  </si>
  <si>
    <t>A METHOD AND SYSTEM FOR DETERMINING AND TRANSMITTING AT LEAST ONE ROAD STATUS</t>
  </si>
  <si>
    <t>G08G 1/0969; H04W 4/02; G01C 21/34; G06F 17/30</t>
  </si>
  <si>
    <t>IN211829793</t>
  </si>
  <si>
    <t>201641002294</t>
  </si>
  <si>
    <t>21.01.2016</t>
  </si>
  <si>
    <t>“METHODS AND SYSTEM OF LOCKING AND UNLOCKING A DEVICE"</t>
  </si>
  <si>
    <t>F16H 48/00</t>
  </si>
  <si>
    <t>IN219411894</t>
  </si>
  <si>
    <t>201641036961</t>
  </si>
  <si>
    <t>27.10.2016</t>
  </si>
  <si>
    <t>04.05.2018</t>
  </si>
  <si>
    <t>“A CELL SPACER FOR SEPARATING TWO CELLS IN A CASING”</t>
  </si>
  <si>
    <t>H01M 2/14</t>
  </si>
  <si>
    <t>ATHER ENERGY PVT. LTD.,</t>
  </si>
  <si>
    <t>IN231451911</t>
  </si>
  <si>
    <t>201741006851</t>
  </si>
  <si>
    <t>27.02.2017</t>
  </si>
  <si>
    <t>31.08.2018</t>
  </si>
  <si>
    <t>“AN APPARATUS FOR PERFORMING AN ACTION ON A SURFACE”</t>
  </si>
  <si>
    <t>B23B 35/00; B23B 49/04</t>
  </si>
  <si>
    <t>WO2017125857</t>
  </si>
  <si>
    <t>PCT/IB2017/050255</t>
  </si>
  <si>
    <t>18.01.2017</t>
  </si>
  <si>
    <t>WO/2017/125857</t>
  </si>
  <si>
    <t>27.07.2017</t>
  </si>
  <si>
    <t>METHODS AND SYSTEM OF LOCKING AND UNLOCKING A DEVICE</t>
  </si>
  <si>
    <t>G06F 21/36; G06F 3/0488</t>
  </si>
  <si>
    <t>IN212391697</t>
  </si>
  <si>
    <t>201641003418</t>
  </si>
  <si>
    <t>A METHOD AND SYSTEM FOR DETERMINING AN OPERATIONAL CONDITION OF A VEHICLECOMPONENT</t>
  </si>
  <si>
    <t>G07C /; B60W /; G07C /; F02N /; B60R /</t>
  </si>
  <si>
    <t>IN237709980</t>
  </si>
  <si>
    <t>201841006192</t>
  </si>
  <si>
    <t>19.02.2018</t>
  </si>
  <si>
    <t>15.02.2019</t>
  </si>
  <si>
    <t>AN ELECTRIC COUPLER WITH A MOUNTING MEMBER</t>
  </si>
  <si>
    <t>H01R 24/00</t>
  </si>
  <si>
    <t>IN298658088</t>
  </si>
  <si>
    <t>201741042954</t>
  </si>
  <si>
    <t>30.11.2017</t>
  </si>
  <si>
    <t>MID-FRAME FOR A TWO-WHEELER</t>
  </si>
  <si>
    <t>B62K /; B60K /; B62K /; B29C /; F02M /</t>
  </si>
  <si>
    <t>IN362991519</t>
  </si>
  <si>
    <t>202041050803</t>
  </si>
  <si>
    <t>23.11.2020</t>
  </si>
  <si>
    <t>27.05.2022</t>
  </si>
  <si>
    <t>"METHOD AND SYSTEM FOR OPTIMIZATION OF ENERGY CONSUMPTION OF AN ELECTRIC VEHICLE"</t>
  </si>
  <si>
    <t>B60R /; G06Q /; H04W /; G06Q /; G06Q /</t>
  </si>
  <si>
    <t>WO2018020475</t>
  </si>
  <si>
    <t>PCT/IB2017/054613</t>
  </si>
  <si>
    <t>WO/2018/020475</t>
  </si>
  <si>
    <t>A METHOD AND SYSTEM FOR DETERMINING AN OPERATIONAL CONDITION OF A VEHICLE COMPONENT</t>
  </si>
  <si>
    <t>B60W 10/00; G06F 7/00; G07C 5/00; B60W 20/00; B60W 50/00</t>
  </si>
  <si>
    <t>IN211833807</t>
  </si>
  <si>
    <t>201641003332</t>
  </si>
  <si>
    <t>29.01.2016</t>
  </si>
  <si>
    <t>SYSTEM AND METHOD FOR VEHICLE STATE DETECTION</t>
  </si>
  <si>
    <t>H01M 8/00</t>
  </si>
  <si>
    <t>IN211833808</t>
  </si>
  <si>
    <t>201641003334</t>
  </si>
  <si>
    <t>BATTERY CASING FOR A VEHICLE</t>
  </si>
  <si>
    <t>B60K 5/00</t>
  </si>
  <si>
    <t>MY231396484</t>
  </si>
  <si>
    <t>PI 2018702536</t>
  </si>
  <si>
    <t>29.07.2017</t>
  </si>
  <si>
    <t>MY</t>
  </si>
  <si>
    <t>G08B 25/00; B60R 25/102; B60R 25/00</t>
  </si>
  <si>
    <t>PH241024051</t>
  </si>
  <si>
    <t>1/2018/501580</t>
  </si>
  <si>
    <t>08.04.2019</t>
  </si>
  <si>
    <t>PH</t>
  </si>
  <si>
    <t>G08B 25/00; B60R 25/00; B60R 25/102</t>
  </si>
  <si>
    <t>IN275747335</t>
  </si>
  <si>
    <t>201841029696</t>
  </si>
  <si>
    <t>07.08.2018</t>
  </si>
  <si>
    <t>A BATTERY PACK MANAGEMENT SYSTEM</t>
  </si>
  <si>
    <t>G06F 1/32; G06F 9/445</t>
  </si>
  <si>
    <t>IN275749485</t>
  </si>
  <si>
    <t>201841020711</t>
  </si>
  <si>
    <t>01.06.2018</t>
  </si>
  <si>
    <t>09.08.2019</t>
  </si>
  <si>
    <t>A SYSTEM AND METHOD FOR PROVIDING ASSISTANCE IN POSITIONING OF A VEHICLE</t>
  </si>
  <si>
    <t>G01S 19/00</t>
  </si>
  <si>
    <t>IN275747887</t>
  </si>
  <si>
    <t>201841025558</t>
  </si>
  <si>
    <t>“A SYSTEM AND METHOD FOR CHECKING READINESS OF A POWER CONDITIONING MODULE”</t>
  </si>
  <si>
    <t>H01L 21/00</t>
  </si>
  <si>
    <t>VN279135189</t>
  </si>
  <si>
    <t>1201803699</t>
  </si>
  <si>
    <t>25.10.2018</t>
  </si>
  <si>
    <t>Thiết bị kiểm soát phương tiện giao thông và phương pháp phát hiện trạng thái của phương tiện giao thông</t>
  </si>
  <si>
    <t>G08B 25/00; G08B 25/00; G08B 25/00; G08B 25/00; G08B 25/00; B60R 25/102; B60R 25/00; B60R 25/102; B60R 25/00; B60R 25/102; B60R 25/00; B60R 25/102; B60R 25/00; B60R 25/102; B60R 25/00</t>
  </si>
  <si>
    <t>WO2017130040</t>
  </si>
  <si>
    <t>PCT/IB2016/056884</t>
  </si>
  <si>
    <t>16.11.2016</t>
  </si>
  <si>
    <t>WO/2017/130040</t>
  </si>
  <si>
    <t>03.08.2017</t>
  </si>
  <si>
    <t>A VEHICLE WITH AN INTEGRATED BATTERY CASING</t>
  </si>
  <si>
    <t>B60R 16/04</t>
  </si>
  <si>
    <t>WO2017130145</t>
  </si>
  <si>
    <t>PCT/IB2017/050437</t>
  </si>
  <si>
    <t>WO/2017/130145</t>
  </si>
  <si>
    <t>B60R 25/00; B60R 25/102; G08B 25/00</t>
  </si>
  <si>
    <t>IN231455212</t>
  </si>
  <si>
    <t>201841011751</t>
  </si>
  <si>
    <t>28.03.2018</t>
  </si>
  <si>
    <t>28.09.2018</t>
  </si>
  <si>
    <t>A TURN INDICATION SYSTEM OF A VEHICLE AND A METHOD FOR OPERATING THE SAME</t>
  </si>
  <si>
    <t>H01L 29/745</t>
  </si>
  <si>
    <t>IN235422096</t>
  </si>
  <si>
    <t>201741020340</t>
  </si>
  <si>
    <t>14.12.2018</t>
  </si>
  <si>
    <t>“A CHARGING CONNECTOR”</t>
  </si>
  <si>
    <t>G07F 17/00</t>
  </si>
  <si>
    <t>IN298658671</t>
  </si>
  <si>
    <t>201841006057</t>
  </si>
  <si>
    <t>16.02.2018</t>
  </si>
  <si>
    <t>ENERGY REFILLING EQUIPMENT</t>
  </si>
  <si>
    <t>H05K /; G02F /; F42D /; H05K /; A61G /</t>
  </si>
  <si>
    <t>IN391561921</t>
  </si>
  <si>
    <t>202141034497</t>
  </si>
  <si>
    <t>30.07.2021</t>
  </si>
  <si>
    <t>B62J /; A61B /; F16C /; F16B /; G03B /</t>
  </si>
  <si>
    <t>IN214957168</t>
  </si>
  <si>
    <t>201641034411</t>
  </si>
  <si>
    <t>07.10.2016</t>
  </si>
  <si>
    <t>13.04.2018</t>
  </si>
  <si>
    <t>A CELL SPACER</t>
  </si>
  <si>
    <t>G02F 1/133</t>
  </si>
  <si>
    <t>IN241090436</t>
  </si>
  <si>
    <t>201641022637</t>
  </si>
  <si>
    <t>A MOUNTING ASSEMBLY FOR MOUNTIG PLURALITY OF CHARGER CASINGS</t>
  </si>
  <si>
    <t>IN311132622</t>
  </si>
  <si>
    <t>201641005985</t>
  </si>
  <si>
    <t>22.08.2016</t>
  </si>
  <si>
    <t>23.02.2018</t>
  </si>
  <si>
    <t>B60G 17/00</t>
  </si>
  <si>
    <t>Ather Energy Pvt. Ltd.</t>
  </si>
  <si>
    <t>IN346035800</t>
  </si>
  <si>
    <t>202041021733</t>
  </si>
  <si>
    <t>23.05.2020</t>
  </si>
  <si>
    <t>26.11.2021</t>
  </si>
  <si>
    <t>AN INTEGRATED CHARGING AND MOTOR CONTROLLING SYSTEM FOR ELECTRIC VEHICLES</t>
  </si>
  <si>
    <t>B60L /; B60L /; B60L /; B60L /; H01M /</t>
  </si>
  <si>
    <t>IN349444034</t>
  </si>
  <si>
    <t>202041031767</t>
  </si>
  <si>
    <t>24.07.2020</t>
  </si>
  <si>
    <t>28.01.2022</t>
  </si>
  <si>
    <t>“SHOCK ABSORBER”</t>
  </si>
  <si>
    <t>B60G /; F16F /; B60G /; F16F /; F16F /</t>
  </si>
  <si>
    <t>IN391899292</t>
  </si>
  <si>
    <t>202141035306</t>
  </si>
  <si>
    <t>05.08.2021</t>
  </si>
  <si>
    <t>SYSTEM AND METHOD FOR AUGMENTING AUDIO INFORMATION IN AN ELECTRIC VEHICLE</t>
  </si>
  <si>
    <t>B60L /; H02P /; G08B /; B60L /; G06F /</t>
  </si>
  <si>
    <t>IN211827800</t>
  </si>
  <si>
    <t>201641001795</t>
  </si>
  <si>
    <t>10.11.2017</t>
  </si>
  <si>
    <t>“ A MODULAR MOUNT ASSEMBLY FOR A VEHICLE”</t>
  </si>
  <si>
    <t>IN214108324</t>
  </si>
  <si>
    <t>201641032018</t>
  </si>
  <si>
    <t>VARIABLE SIZED RIBS IN AN ENERGY STORAGE DEVICE CASING</t>
  </si>
  <si>
    <t>G06F 1/00</t>
  </si>
  <si>
    <t>IN243593735</t>
  </si>
  <si>
    <t>201743041186</t>
  </si>
  <si>
    <t>24.05.2019</t>
  </si>
  <si>
    <t>“A CELL SPACER WITH PROTRUSIONS”</t>
  </si>
  <si>
    <t>G02F 1/13; G02F 1/133</t>
  </si>
  <si>
    <t>IN298658087</t>
  </si>
  <si>
    <t>201741042681</t>
  </si>
  <si>
    <t>SIDE CHANNEL FOR A TWO-WHEELER VEHICLE</t>
  </si>
  <si>
    <t>H04L /; F04D /; A47G /; F04D /; B60K /</t>
  </si>
  <si>
    <t>IN313339189</t>
  </si>
  <si>
    <t>201941022268</t>
  </si>
  <si>
    <t>05.06.2019</t>
  </si>
  <si>
    <t>11.12.2020</t>
  </si>
  <si>
    <t>A SYSTEM AND METHOD FOR INDICATING A DRIVING PATTERN OF A BATTERY POWERED VEHICLE</t>
  </si>
  <si>
    <t>WO2017125801</t>
  </si>
  <si>
    <t>PCT/IB2016/056312</t>
  </si>
  <si>
    <t>20.10.2016</t>
  </si>
  <si>
    <t>WO/2017/125801</t>
  </si>
  <si>
    <t>A MODULAR MOUNT ASSEMBLY FOR A VEHICLE</t>
  </si>
  <si>
    <t>F16M 13/00; B62M 27/00</t>
  </si>
  <si>
    <t>WO2018055500</t>
  </si>
  <si>
    <t>PCT/IB2017/055622</t>
  </si>
  <si>
    <t>18.09.2017</t>
  </si>
  <si>
    <t>WO/2018/055500</t>
  </si>
  <si>
    <t>29.03.2018</t>
  </si>
  <si>
    <t>H01M 2/02; H01M 10/04; H01M 10/65</t>
  </si>
  <si>
    <t>IN241132069</t>
  </si>
  <si>
    <t>201641034261</t>
  </si>
  <si>
    <t>06.10.2016</t>
  </si>
  <si>
    <t>A BATTERY CASING FOR EFFECTIVE HEAT DISSIPATION</t>
  </si>
  <si>
    <t>H01M 2/00</t>
  </si>
  <si>
    <t>IN211818227</t>
  </si>
  <si>
    <t>6991/CHE/2015</t>
  </si>
  <si>
    <t>04.01.2016</t>
  </si>
  <si>
    <t>15.09.2017</t>
  </si>
  <si>
    <t>METHOD AND SYSTEM FOR VEHICLE MODE SELECTION</t>
  </si>
  <si>
    <t>Ather Energy Pvt. Ltd</t>
  </si>
  <si>
    <t>IN211825757</t>
  </si>
  <si>
    <t>201641001794</t>
  </si>
  <si>
    <t>“MODULAR FRAME STRUCTURE FOR TWO-WHEELED VEHICLE”</t>
  </si>
  <si>
    <t>F41H 7/00</t>
  </si>
  <si>
    <t>IN211833816</t>
  </si>
  <si>
    <t>201641003416</t>
  </si>
  <si>
    <t>31.01.2016</t>
  </si>
  <si>
    <t>A BATTERY CASING WITH INTEGRATED FINS AND RIBS</t>
  </si>
  <si>
    <t>H01L 23/00</t>
  </si>
  <si>
    <t>IN237709981</t>
  </si>
  <si>
    <t>201841007624</t>
  </si>
  <si>
    <t>28.02.2018</t>
  </si>
  <si>
    <t>MOUNTING OF AN ELECTRIC COUPLER ON A MOUNTING MEMBER</t>
  </si>
  <si>
    <t>B60R 22/06; F41A 19/70</t>
  </si>
  <si>
    <t>IN298658089</t>
  </si>
  <si>
    <t>201741042955</t>
  </si>
  <si>
    <t>MODULAR UPPER REAR FRAME ASSEMBLY</t>
  </si>
  <si>
    <t>H05K /; B60K /; B62D /; B60K /; E04B /</t>
  </si>
  <si>
    <t>IN395677447</t>
  </si>
  <si>
    <t>202141045380</t>
  </si>
  <si>
    <t>06.10.2021</t>
  </si>
  <si>
    <t>14.04.2023</t>
  </si>
  <si>
    <t>SEALING UNIT</t>
  </si>
  <si>
    <t>F16J /; F04B /; F16J /; G02B /; B65D /</t>
  </si>
  <si>
    <t>WO2017130168</t>
  </si>
  <si>
    <t>PCT/IB2017/050477</t>
  </si>
  <si>
    <t>30.01.2017</t>
  </si>
  <si>
    <t>WO/2017/130168</t>
  </si>
  <si>
    <t>A CASING FOR AN ENERGY STORAGE DEVICE</t>
  </si>
  <si>
    <t>H01M 2/02; H01M 2/10</t>
  </si>
  <si>
    <t>WO2017125803</t>
  </si>
  <si>
    <t>PCT/IB2016/056862</t>
  </si>
  <si>
    <t>15.11.2016</t>
  </si>
  <si>
    <t>WO/2017/125803</t>
  </si>
  <si>
    <t>MODULAR FRAME STRUCTURE FOR AN AUTOMOTIVE VEHICLE</t>
  </si>
  <si>
    <t>B62D 21/02; B62D 65/02</t>
  </si>
  <si>
    <t>WO2017118903</t>
  </si>
  <si>
    <t>PCT/IB2017/000003</t>
  </si>
  <si>
    <t>04.01.2017</t>
  </si>
  <si>
    <t>WO/2017/118903</t>
  </si>
  <si>
    <t>13.07.2017</t>
  </si>
  <si>
    <t>B60W 30/182</t>
  </si>
  <si>
    <t>07_River_Mobility_raw.xls</t>
  </si>
  <si>
    <t>IN395400582</t>
  </si>
  <si>
    <t>202343024248</t>
  </si>
  <si>
    <t>PROXIMITY DETECTION FOR MAGNETIC LOCKING IN ELECTRIC CHARGING SYSTEMS DURING DEEP-DISCHARGE STATE OF BATTERY</t>
  </si>
  <si>
    <t>H01M /; H01M /; H01R /; H02J /; H02J /</t>
  </si>
  <si>
    <t>River Mobility Private Limited</t>
  </si>
  <si>
    <t>19.10.2026 07:03:57</t>
  </si>
  <si>
    <t>IN414840795</t>
  </si>
  <si>
    <t>202341042294</t>
  </si>
  <si>
    <t>23.06.2023</t>
  </si>
  <si>
    <t>A SADDLE RIDING TYPE VEHICLE</t>
  </si>
  <si>
    <t>B62J 7/02; B62J 9/16; B62K 19/46</t>
  </si>
  <si>
    <t>IN394088711</t>
  </si>
  <si>
    <t>202341015332</t>
  </si>
  <si>
    <t>MAGNETIC LOCKING IN ELECTRIC CHARGING SYSTEMS</t>
  </si>
  <si>
    <t>B60L /; H01M /; H01R /; H02J /; H02J /</t>
  </si>
  <si>
    <t>RIVER MOBILITY PRIVATE LIMITED</t>
  </si>
  <si>
    <t>IN414830303</t>
  </si>
  <si>
    <t>202341055289</t>
  </si>
  <si>
    <t>17.08.2023</t>
  </si>
  <si>
    <t>STATE OF CHARGE ESTIMATION FOR AN ENERGY STORAGE DEVICE</t>
  </si>
  <si>
    <t>B60L 58/12; G01R 31/36; G01R 31/383; G01R 31/383</t>
  </si>
  <si>
    <t>IN389951718</t>
  </si>
  <si>
    <t>202241071290</t>
  </si>
  <si>
    <t>METHOD AND SYSTEM FOR MODULATING ELECTRIC CURRENT FOR ELECTRIC VEHICLES</t>
  </si>
  <si>
    <t>B60W /; H01M /; H01M /; B60W /; H01M /</t>
  </si>
  <si>
    <t>IN394894035</t>
  </si>
  <si>
    <t>202341018318</t>
  </si>
  <si>
    <t>31.03.2023</t>
  </si>
  <si>
    <t>DOUBLE-SIDED SWINGARM ASSEMBLY</t>
  </si>
  <si>
    <t>B62J /; B62K /; B62M /; G03G /; H01L /</t>
  </si>
  <si>
    <t>IN414862821</t>
  </si>
  <si>
    <t>202341050537</t>
  </si>
  <si>
    <t>A SYSTEM AND METHOD FOR PREDICTION OF REMAINING DRIVING RANGE FOR A VEHICLE</t>
  </si>
  <si>
    <t>B60L 3/12; B60L 58/12; G01C 21/34</t>
  </si>
  <si>
    <t>IN414834767</t>
  </si>
  <si>
    <t>202341034996</t>
  </si>
  <si>
    <t>18.05.2023</t>
  </si>
  <si>
    <t>CRASH-GUARD ASSEMBLY</t>
  </si>
  <si>
    <t>B65B /; C07D /; F16J /; G05D /; H01L /</t>
  </si>
  <si>
    <t>IN414859811</t>
  </si>
  <si>
    <t>202341045160</t>
  </si>
  <si>
    <t>05.07.2023</t>
  </si>
  <si>
    <t>PRESSURE SENSOR STRUCTURE</t>
  </si>
  <si>
    <t>G01L 19/14</t>
  </si>
  <si>
    <t>IN389964237</t>
  </si>
  <si>
    <t>202241077594</t>
  </si>
  <si>
    <t>31.12.2022</t>
  </si>
  <si>
    <t>AN ENERGY-REFILLING APPARATUS</t>
  </si>
  <si>
    <t>B60L /; H01R /; H04W /; B60L /; H04L /</t>
  </si>
  <si>
    <t>IN414855299</t>
  </si>
  <si>
    <t>202341045739</t>
  </si>
  <si>
    <t>07.07.2023</t>
  </si>
  <si>
    <t>A SYSTEM FOR DETERMINING A MASS OF A VEHICLE AND A METHOD THEREOF</t>
  </si>
  <si>
    <t>B60W 40/10; B60W 40/13; G01G 19/086</t>
  </si>
  <si>
    <t>IN395400982</t>
  </si>
  <si>
    <t>202343023509</t>
  </si>
  <si>
    <t>PROXIMITY DETECTION FOR MAGNETIC LOCKING IN ELECTRIC CHARGING SYSTEMS</t>
  </si>
  <si>
    <t>IN395400952</t>
  </si>
  <si>
    <t>202341022588</t>
  </si>
  <si>
    <t>METHOD OF PRE-CHARGING A DC-LINK CAPACITOR</t>
  </si>
  <si>
    <t>F03D /; H01G /; H02M /; H02M /; H02M /</t>
  </si>
  <si>
    <t>IN417757377</t>
  </si>
  <si>
    <t>202341074339</t>
  </si>
  <si>
    <t>31.10.2023</t>
  </si>
  <si>
    <t>CURRENT COLLECTOR OF BATTERY PACK</t>
  </si>
  <si>
    <t>H01M 50/249; H01M 50/50; H01M 50/521; H01M 50/543</t>
  </si>
  <si>
    <t>IN395400505</t>
  </si>
  <si>
    <t>202341020556</t>
  </si>
  <si>
    <t>23.03.2023</t>
  </si>
  <si>
    <t>POWER MANAGEMENT OF A BATTERY PACK</t>
  </si>
  <si>
    <t>G06F /; H01M /; H01M /; H02J /; H02J /</t>
  </si>
  <si>
    <t>IN438211971</t>
  </si>
  <si>
    <t>202341077153</t>
  </si>
  <si>
    <t>12.11.2023</t>
  </si>
  <si>
    <t>22.12.2023</t>
  </si>
  <si>
    <t>POWER MANAGEMENT SYSTEM FOR VEHICLE</t>
  </si>
  <si>
    <t>B60L 15/20; B60L 3/00; B60L 50/50; B60W 10/08; B60W 30/182; B60W 50/00; H02J 7/00</t>
  </si>
  <si>
    <t>IN394895051</t>
  </si>
  <si>
    <t>202341019155</t>
  </si>
  <si>
    <t>21.03.2023</t>
  </si>
  <si>
    <t>SYSTEM AND METHOD FOR MANAGING TORQUE IN MOTOR-ASSISTED VEHICLES</t>
  </si>
  <si>
    <t>B60L /; B60T /; B62M /; B62M /; F02B /</t>
  </si>
  <si>
    <t>IN414832322</t>
  </si>
  <si>
    <t>202343046397</t>
  </si>
  <si>
    <t>10.07.2023</t>
  </si>
  <si>
    <t>A DISC BRAKE ASSEMBLY OF A VEHICLE</t>
  </si>
  <si>
    <t>B62L 3/02; F16D 55/00; F16D 65/00; F16D 65/12; F16D 65/14</t>
  </si>
  <si>
    <t>IN414843304</t>
  </si>
  <si>
    <t>202343056047</t>
  </si>
  <si>
    <t>INTEGRATED SWINGARM ASSEMBLY WITH ACTIVE COOLING MECHANISM</t>
  </si>
  <si>
    <t>B62J 41/00; B62K 25/28</t>
  </si>
  <si>
    <t>IN414849308</t>
  </si>
  <si>
    <t>202341052077</t>
  </si>
  <si>
    <t>02.08.2023</t>
  </si>
  <si>
    <t>SWINGARM ASSEMBLY INTEGRATED WITH MOTOR AND TRANSMISSION ASSEMBLY</t>
  </si>
  <si>
    <t>B62K 25/28</t>
  </si>
  <si>
    <t>10_Sun_Mobility_raw.xls</t>
  </si>
  <si>
    <t>VN467894166</t>
  </si>
  <si>
    <t>1202502872</t>
  </si>
  <si>
    <t>117840</t>
  </si>
  <si>
    <t>27.10.2025</t>
  </si>
  <si>
    <t>Xe có bộ phận trao đổi pin môđun và sự sắp xếp của nó</t>
  </si>
  <si>
    <t>B60L 53/302; B60L 53/57; B60L 53/60; B60L 53/80</t>
  </si>
  <si>
    <t>SUN MOBILITY PTE LTD</t>
  </si>
  <si>
    <t>19.10.2026 07:08:40</t>
  </si>
  <si>
    <t>ID459613462</t>
  </si>
  <si>
    <t>P00202504100</t>
  </si>
  <si>
    <t>2025/08521</t>
  </si>
  <si>
    <t>16.07.2025</t>
  </si>
  <si>
    <t>A VEHICLE WITH A MODULAR BATTERY SWAPPING UNIT AND ITS ARRANGEMENT THEREOF</t>
  </si>
  <si>
    <t>B60L 53/80; B60L 53/30; B60S 5/06</t>
  </si>
  <si>
    <t>WO2024080926</t>
  </si>
  <si>
    <t>PCT/SG2023/050682</t>
  </si>
  <si>
    <t>WO/2024/080926</t>
  </si>
  <si>
    <t>18.04.2024</t>
  </si>
  <si>
    <t>GB464113520</t>
  </si>
  <si>
    <t>202505386</t>
  </si>
  <si>
    <t>2639343</t>
  </si>
  <si>
    <t>24.09.2025</t>
  </si>
  <si>
    <t>GB</t>
  </si>
  <si>
    <t>A vehicle with a modular battery swapping unit and its arrangement thereof</t>
  </si>
  <si>
    <t>B60L 53/57; B60L 53/302; B60L 53/60; B60L 53/80</t>
  </si>
  <si>
    <t>WO2023211377</t>
  </si>
  <si>
    <t>PCT/SG2023/050279</t>
  </si>
  <si>
    <t>24.04.2023</t>
  </si>
  <si>
    <t>WO/2023/211377</t>
  </si>
  <si>
    <t>02.11.2023</t>
  </si>
  <si>
    <t>SYSTEMS AND METHODS FOR OPTIMIZED AND INTELLIGENT CHARGING OF BATTERY PACKS AT A BATTERY CHARGING AND SWAPPING STATION</t>
  </si>
  <si>
    <t>B60L 53/60; B60L 53/80; H02J 7/00; G06Q 30/06</t>
  </si>
  <si>
    <t>WO2024030078</t>
  </si>
  <si>
    <t>PCT/SG2023/050530</t>
  </si>
  <si>
    <t>WO/2024/030078</t>
  </si>
  <si>
    <t>A MULTIPLEXED ISOLATION MONITORING SYSTEM IN A BATTERY CHARGING AND SWAPPING STATION</t>
  </si>
  <si>
    <t>G01R 31/36; B60L 53/60; B60L 53/80</t>
  </si>
  <si>
    <t>WO2026047528</t>
  </si>
  <si>
    <t>PCT/IB2025/058565</t>
  </si>
  <si>
    <t>26.08.2025</t>
  </si>
  <si>
    <t>WO/2026/047528</t>
  </si>
  <si>
    <t>A CASSETTE ARRESTER</t>
  </si>
  <si>
    <t>B60L 53/80; H01M 50/262</t>
  </si>
  <si>
    <t>WO2025178554</t>
  </si>
  <si>
    <t>PCT/SG2024/050101</t>
  </si>
  <si>
    <t>26.02.2024</t>
  </si>
  <si>
    <t>WO/2025/178554</t>
  </si>
  <si>
    <t>28.08.2025</t>
  </si>
  <si>
    <t>SYSTEMS AND METHODS FOR MANAGING BUNCHING OF VEHICLES AT A BATTERY CHARGING AND SWAPPING STATION</t>
  </si>
  <si>
    <t>B60L 53/80; B60L 53/66; B60L 53/68; H01M 10/42; G08C 17/02</t>
  </si>
  <si>
    <t>WO2026202618</t>
  </si>
  <si>
    <t>PCT/IB2026/052244</t>
  </si>
  <si>
    <t>09.03.2026</t>
  </si>
  <si>
    <t>WO/2026/202618</t>
  </si>
  <si>
    <t>01.10.2026</t>
  </si>
  <si>
    <t>SYSTEMS AND METHODS FOR MANAGING A PLURALITY OF DOCKS IN AN EV</t>
  </si>
  <si>
    <t>B60L 58/10; B60L 50/64; B60L 58/24; B60L 53/00</t>
  </si>
  <si>
    <t>SUN MOBILITY PTE LTD.</t>
  </si>
  <si>
    <t>SG306155371</t>
  </si>
  <si>
    <t>10202000155R</t>
  </si>
  <si>
    <t>07.01.2020</t>
  </si>
  <si>
    <t>28.08.2020</t>
  </si>
  <si>
    <t>SG</t>
  </si>
  <si>
    <t>A MODULAR BATTERY CONNECTOR AND BATTERY LOCKING SYSTEMS IN A VEHICLE AND METHODS THEREOF</t>
  </si>
  <si>
    <t>SUN Mobility Pte Ltd</t>
  </si>
  <si>
    <t>WO2020145894</t>
  </si>
  <si>
    <t>PCT/SG2020/050006</t>
  </si>
  <si>
    <t>WO/2020/145894</t>
  </si>
  <si>
    <t>16.07.2020</t>
  </si>
  <si>
    <t>H01R 13/64; H01R 13/62; H01R 13/52; H01M 2/10; H01R 24/00; B60L 53/80; E05B 51/02; E05B 47/00</t>
  </si>
  <si>
    <t>WO2019226118</t>
  </si>
  <si>
    <t>PCT/SG2019/050263</t>
  </si>
  <si>
    <t>10.05.2019</t>
  </si>
  <si>
    <t>WO/2019/226118</t>
  </si>
  <si>
    <t>28.11.2019</t>
  </si>
  <si>
    <t>AN ELECTRO-MECHANICAL LOCK</t>
  </si>
  <si>
    <t>E05B 47/00</t>
  </si>
  <si>
    <t>WO2026202650</t>
  </si>
  <si>
    <t>PCT/IB2026/052560</t>
  </si>
  <si>
    <t>17.03.2026</t>
  </si>
  <si>
    <t>WO/2026/202650</t>
  </si>
  <si>
    <t>METHODS AND SYSTEMS FOR MANAGING POWER AND CHARGING IN A BATTERY STATION</t>
  </si>
  <si>
    <t>B60L 53/63; B60L 58/12; H02J 7/00</t>
  </si>
  <si>
    <t>WO2025207019</t>
  </si>
  <si>
    <t>PCT/SG2024/050195</t>
  </si>
  <si>
    <t>WO/2025/207019</t>
  </si>
  <si>
    <t>METHODS AND SYSTEMS FOR DYNAMICALLY CONTROLLING OUTPUT POWER OF A BATTERY</t>
  </si>
  <si>
    <t>H01M 10/44; B60L 58/10</t>
  </si>
  <si>
    <t>WO2024025477</t>
  </si>
  <si>
    <t>PCT/SG2023/050528</t>
  </si>
  <si>
    <t>WO/2024/025477</t>
  </si>
  <si>
    <t>01.02.2024</t>
  </si>
  <si>
    <t>SYSTEMS AND METHODS FOR DISPENSING BATTERY PACKS FROM A BATTERY SWAPPING STATION</t>
  </si>
  <si>
    <t>B60L 53/60; B60L 53/80</t>
  </si>
  <si>
    <t>WO2025196630</t>
  </si>
  <si>
    <t>PCT/IB2025/052814</t>
  </si>
  <si>
    <t>WO/2025/196630</t>
  </si>
  <si>
    <t>SYSTEMS AND METHODS FOR PROTECTING A DEVICE AGAINST FAULTY SWITCHES</t>
  </si>
  <si>
    <t>H01M 10/42; G06F 1/32; H02H 7/18; G01R 31/36</t>
  </si>
  <si>
    <t>SG306154343</t>
  </si>
  <si>
    <t>10201910213T</t>
  </si>
  <si>
    <t>01.11.2019</t>
  </si>
  <si>
    <t>29.06.2020</t>
  </si>
  <si>
    <t>METHODS AND SYSTEMS FOR LIFETIME MANAGEMENT OF BATTERY PACK BY CREATING A DIGITAL COPY</t>
  </si>
  <si>
    <t>WO2023211378</t>
  </si>
  <si>
    <t>PCT/SG2023/050280</t>
  </si>
  <si>
    <t>WO/2023/211378</t>
  </si>
  <si>
    <t>PRE-AUTHENTICATION OF BATTERY PACK(S) FOR AN UPCOMING SWAP AT A BATTERY CHARGING AND SWAPPING STATION</t>
  </si>
  <si>
    <t>B60L 53/66; G06Q 20/38; B60L 53/80</t>
  </si>
  <si>
    <t>WO2025196684</t>
  </si>
  <si>
    <t>PCT/IB2025/052927</t>
  </si>
  <si>
    <t>WO/2025/196684</t>
  </si>
  <si>
    <t>SYSTEMS AND METHODS FOR POWERING A REAL TIME CLOCK (RTC) MODULE</t>
  </si>
  <si>
    <t>G06F 1/14; G06F 1/30; H02J 9/00</t>
  </si>
  <si>
    <t>WO2024151221</t>
  </si>
  <si>
    <t>PCT/SG2024/050028</t>
  </si>
  <si>
    <t>12.01.2024</t>
  </si>
  <si>
    <t>WO/2024/151221</t>
  </si>
  <si>
    <t>18.07.2024</t>
  </si>
  <si>
    <t>A BATTERY CHARGING AND SWAPPING STATION AND METHODS FOR DISPENSING BATTERY PACKS FROM THE SAME</t>
  </si>
  <si>
    <t>B60L 53/66; B60L 53/80</t>
  </si>
  <si>
    <t>WO2026047544</t>
  </si>
  <si>
    <t>PCT/IB2025/058604</t>
  </si>
  <si>
    <t>WO/2026/047544</t>
  </si>
  <si>
    <t>SYSTEMS AND METHODS FOR THERMAL MANAGEMENT OF ELECTRICAL ENERGY STORAGE DEVICES</t>
  </si>
  <si>
    <t>H01M 10/60; B60L 53/00; B60L 58/24; F25B 13/00; F25B 25/00; F25B 41/00</t>
  </si>
  <si>
    <t>WO2026047529</t>
  </si>
  <si>
    <t>PCT/IB2025/058571</t>
  </si>
  <si>
    <t>WO/2026/047529</t>
  </si>
  <si>
    <t>A MANUALLY ASSISTED SEMI-AUTOMATED CASSETTE HANDLING SYSTEM</t>
  </si>
  <si>
    <t>B60L 53/80; B66F 9/18; B66F 9/19</t>
  </si>
  <si>
    <t>IN414862743</t>
  </si>
  <si>
    <t>202241024256</t>
  </si>
  <si>
    <t>25.04.2022</t>
  </si>
  <si>
    <t>Pre-authentication of battery pack(s) for an upcoming swap at a battery charging and swapping station</t>
  </si>
  <si>
    <t>B60L /; H04L /; H04W /; H02J /; H04L /</t>
  </si>
  <si>
    <t>VN466516907</t>
  </si>
  <si>
    <t>1202502412</t>
  </si>
  <si>
    <t>116690</t>
  </si>
  <si>
    <t>Cơ cấu tay cầm cho bộ pin di động và thay thế được</t>
  </si>
  <si>
    <t>B65D 25/28; H01M 50/147</t>
  </si>
  <si>
    <t>BR464211772</t>
  </si>
  <si>
    <t>BR112025006256</t>
  </si>
  <si>
    <t>BR</t>
  </si>
  <si>
    <t>MECANISMO DE ALÇA PARA UM PACOTE DE BATERIA INTERCAMBIÁVEL E PORTÁTIL</t>
  </si>
  <si>
    <t>H01M 50; B65D 25</t>
  </si>
  <si>
    <t>CO459646604</t>
  </si>
  <si>
    <t>20250005455</t>
  </si>
  <si>
    <t>29.04.2025</t>
  </si>
  <si>
    <t>17.07.2025</t>
  </si>
  <si>
    <t>CO</t>
  </si>
  <si>
    <t>MECANISMO DE MANGO PARA UN CONJUNTO DE BATERÍAS INTERCAMBIABLE Y PORTÁTIL</t>
  </si>
  <si>
    <t>ID460703983</t>
  </si>
  <si>
    <t>P00202503678</t>
  </si>
  <si>
    <t>2025/09169</t>
  </si>
  <si>
    <t>HANDLE MECHANISM FOR A SWAPPABLE AND PORTABLE BATTERY PACK</t>
  </si>
  <si>
    <t>H01M 50/147; B65D 25/28</t>
  </si>
  <si>
    <t>WO2024147760</t>
  </si>
  <si>
    <t>PCT/SG2024/050005</t>
  </si>
  <si>
    <t>03.01.2024</t>
  </si>
  <si>
    <t>WO/2024/147760</t>
  </si>
  <si>
    <t>11.07.2024</t>
  </si>
  <si>
    <t>A COMPOSITE THERMAL BARRIER FOR BATTERY PACKS AND A BATTERY PACK ASSEMBLY HAVING THE SAME</t>
  </si>
  <si>
    <t>H01M 10/658; H01M 50/449; B32B 19/04</t>
  </si>
  <si>
    <t>GB464113509</t>
  </si>
  <si>
    <t>202505108</t>
  </si>
  <si>
    <t>2639333</t>
  </si>
  <si>
    <t>Handle mechanism for a swappable and portable battery pack</t>
  </si>
  <si>
    <t>WO2024072327</t>
  </si>
  <si>
    <t>PCT/SG2023/050651</t>
  </si>
  <si>
    <t>WO/2024/072327</t>
  </si>
  <si>
    <t>04.04.2024</t>
  </si>
  <si>
    <t>WO2026047565</t>
  </si>
  <si>
    <t>PCT/IB2025/058637</t>
  </si>
  <si>
    <t>27.08.2025</t>
  </si>
  <si>
    <t>WO/2026/047565</t>
  </si>
  <si>
    <t>SYSTEMS AND METHODS FOR PERFORMING THERMAL MANAGEMENT OF CHARGERS</t>
  </si>
  <si>
    <t>B60L 53/302; B60L 53/60; B60L 53/80; H02J 7/00</t>
  </si>
  <si>
    <t>WO2026047535</t>
  </si>
  <si>
    <t>PCT/IB2025/058578</t>
  </si>
  <si>
    <t>WO/2026/047535</t>
  </si>
  <si>
    <t>A COLLAPSIBLE CASSETTE HANDLING SYSTEM FOR A CHARGING AND INTERCHANGE STATION</t>
  </si>
  <si>
    <t>B60L 53/80; B60S 5/06; B66F 9/08</t>
  </si>
  <si>
    <t>WO2025198515</t>
  </si>
  <si>
    <t>PCT/SG2024/050164</t>
  </si>
  <si>
    <t>20.03.2024</t>
  </si>
  <si>
    <t>WO/2025/198515</t>
  </si>
  <si>
    <t>A PORTABLE ENERGY STORAGE DEVICE</t>
  </si>
  <si>
    <t>B60L 50/64; H01M 50/20; H01M 50/10; H01M 10/65; H01M 10/058</t>
  </si>
  <si>
    <t>IN219774897</t>
  </si>
  <si>
    <t>201841019400</t>
  </si>
  <si>
    <t>23.05.2018</t>
  </si>
  <si>
    <t>SG456964522</t>
  </si>
  <si>
    <t>10202403691V</t>
  </si>
  <si>
    <t>07.12.2017</t>
  </si>
  <si>
    <t>27.12.2024</t>
  </si>
  <si>
    <t>BATTERY SWAPPING SYSTEMS AND METHODS</t>
  </si>
  <si>
    <t>SUN MOBILITY PTE. LTD.</t>
  </si>
  <si>
    <t>SG457622544</t>
  </si>
  <si>
    <t>10202403690S</t>
  </si>
  <si>
    <t>24.01.2025</t>
  </si>
  <si>
    <t>WO2024151219</t>
  </si>
  <si>
    <t>PCT/SG2024/050025</t>
  </si>
  <si>
    <t>WO/2024/151219</t>
  </si>
  <si>
    <t>SYSTEMS AND METHODS FOR CHARGING AND ENERGY MANAGEMENT OF BATTERY PACKS</t>
  </si>
  <si>
    <t>B60L 53/62; H01M 10/44; H02J 7/00; B60L 53/80</t>
  </si>
  <si>
    <t>WO2024155237</t>
  </si>
  <si>
    <t>PCT/SG2024/050031</t>
  </si>
  <si>
    <t>WO/2024/155237</t>
  </si>
  <si>
    <t>A BATTERY CHARGING AND SWAPPING STATION AND METHODS FOR MANAGING OPERATING MODES OF THE SAME</t>
  </si>
  <si>
    <t>WO2026047512</t>
  </si>
  <si>
    <t>PCT/IB2025/058534</t>
  </si>
  <si>
    <t>WO/2026/047512</t>
  </si>
  <si>
    <t>AN ELECTRICAL ENERGY STORAGE DEVICE CHARGING AND INTERCHANGE STATION, AND METHODS OF OPERATING THE SAME</t>
  </si>
  <si>
    <t>B60L 53/30; B60L 53/60; B60L 53/80; H02J 7/00; H01M 50/20; H05K 7/18; A47B 88/40</t>
  </si>
  <si>
    <t>WO2026047542</t>
  </si>
  <si>
    <t>PCT/IB2025/058602</t>
  </si>
  <si>
    <t>WO/2026/047542</t>
  </si>
  <si>
    <t>A GUIDING AND LOCKING SYSTEM FOR AN ELECTRICAL ENERGY STORAGE PACK</t>
  </si>
  <si>
    <t>B60S 5/06; B60L 53/80; B60K 1/04; F16B 1/04</t>
  </si>
  <si>
    <t>WO2026202602</t>
  </si>
  <si>
    <t>PCT/IB2026/052031</t>
  </si>
  <si>
    <t>03.03.2026</t>
  </si>
  <si>
    <t>WO/2026/202602</t>
  </si>
  <si>
    <t>SYSTEMS AND METHODS FOR MANAGING RACKS IN A CHARGING AND INTERCHANGE STATION</t>
  </si>
  <si>
    <t>WO2026215781</t>
  </si>
  <si>
    <t>PCT/IB2026/053402</t>
  </si>
  <si>
    <t>WO/2026/215781</t>
  </si>
  <si>
    <t>DOCK ASSEMBLY</t>
  </si>
  <si>
    <t>H01M 50/249; H01M 50/262; B60L 50/64; H01M 50/267; H01M 50/269</t>
  </si>
  <si>
    <t>IN414862741</t>
  </si>
  <si>
    <t>202241024250</t>
  </si>
  <si>
    <t>Systems and methods for optimized and intelligent charging of battery packs at a battery charging and swapping station</t>
  </si>
  <si>
    <t>H02J /; B60L /; B60L /; G06Q /; H01M /</t>
  </si>
  <si>
    <t>ID459160724</t>
  </si>
  <si>
    <t>P00202501759</t>
  </si>
  <si>
    <t>31.07.2023</t>
  </si>
  <si>
    <t>2025/07152</t>
  </si>
  <si>
    <t>27.05.2025</t>
  </si>
  <si>
    <t>SYSTEMS AND METHODS FOR SECURED SWAPPING OF BATTERY PACKS AT THE SWAPPING STATION</t>
  </si>
  <si>
    <t>B60L 53/80; B60L 53/66; H04W 12/06</t>
  </si>
  <si>
    <t>PH463078767</t>
  </si>
  <si>
    <t>12025550254</t>
  </si>
  <si>
    <t>11.08.2025</t>
  </si>
  <si>
    <t>B60L 53/66; B60L 53/80; H04W 12/06</t>
  </si>
  <si>
    <t>VN463104311</t>
  </si>
  <si>
    <t>1202501276</t>
  </si>
  <si>
    <t>115081</t>
  </si>
  <si>
    <t>HỆ THỐNG VÀ PHƯƠNG PHÁP ĐỂ TRAO ĐỔI BỘ PIN CÓ BẢO ĐẢM TẠI TRẠM TRAO ĐỔI</t>
  </si>
  <si>
    <t>WO2024151218</t>
  </si>
  <si>
    <t>PCT/SG2024/050024</t>
  </si>
  <si>
    <t>WO/2024/151218</t>
  </si>
  <si>
    <t>A MODULAR BATTERY CHARGING AND SWAPPING STATION AND ITS METHODS OF OPERATION THEREOF</t>
  </si>
  <si>
    <t>B60L 53/67</t>
  </si>
  <si>
    <t>GB467055032</t>
  </si>
  <si>
    <t>202502783</t>
  </si>
  <si>
    <t>2640772</t>
  </si>
  <si>
    <t>05.11.2025</t>
  </si>
  <si>
    <t>Systems and methods for secured swapping of battery packs at the swapping station</t>
  </si>
  <si>
    <t>WO2024025478</t>
  </si>
  <si>
    <t>PCT/SG2023/050532</t>
  </si>
  <si>
    <t>WO/2024/025478</t>
  </si>
  <si>
    <t>WO2026047526</t>
  </si>
  <si>
    <t>PCT/IB2025/058562</t>
  </si>
  <si>
    <t>WO/2026/047526</t>
  </si>
  <si>
    <t>A DOCK FOR AN ELECTRICAL ENERGY STORAGE DEVICE CHARGING AND INTERCHANGE STATION</t>
  </si>
  <si>
    <t>H01M 50/244; H01M 50/249; H01M 50/251; H01M 50/262; B60L 53/80</t>
  </si>
  <si>
    <t>WO2026047541</t>
  </si>
  <si>
    <t>PCT/IB2025/058601</t>
  </si>
  <si>
    <t>WO/2026/047541</t>
  </si>
  <si>
    <t>A MULTI-DOCK SYSTEM FOR HEAVY VEHICLES OF VARYING CAPACITY</t>
  </si>
  <si>
    <t>H01M 50/204; H01M 50/209; H01M 50/244; H01M 50/251; H01M 50/267; B60L 53/30; B60L 53/302; B60L 53/68; B60L 53/80; B65G 1/02</t>
  </si>
  <si>
    <t>WO2025196661</t>
  </si>
  <si>
    <t>PCT/IB2025/052880</t>
  </si>
  <si>
    <t>WO/2025/196661</t>
  </si>
  <si>
    <t>SYSTEMS AND METHODS FOR DETECTING AND MITIGATING ELECTRICAL ANOMALIES IN WIRING HARNESSES</t>
  </si>
  <si>
    <t>G01R 31/50; H02H 3/00; G01R 19/00</t>
  </si>
  <si>
    <t>WO2026172245</t>
  </si>
  <si>
    <t>PCT/IB2026/051310</t>
  </si>
  <si>
    <t>11.02.2026</t>
  </si>
  <si>
    <t>WO/2026/172245</t>
  </si>
  <si>
    <t>SYSTEMS AND METHODS FOR MANAGING BATTERIES IN CHARGING AND INTERCHANGE STATIONS</t>
  </si>
  <si>
    <t>B60L 53/80; B60L 53/30; H02J 7/00; H01M 10/44</t>
  </si>
  <si>
    <t>SG306154773</t>
  </si>
  <si>
    <t>10201910216Y</t>
  </si>
  <si>
    <t>29.07.2020</t>
  </si>
  <si>
    <t>METHODS AND SYSTEMS FOR SELECTING SITE(S) USING GEOSPATIAL MODELLING</t>
  </si>
  <si>
    <t>IN298658677</t>
  </si>
  <si>
    <t>201841049085</t>
  </si>
  <si>
    <t>26.12.2018</t>
  </si>
  <si>
    <t>G06F /; G06K /; G06K /; G01S /; G06Q /</t>
  </si>
  <si>
    <t>WO2026159569</t>
  </si>
  <si>
    <t>PCT/IB2026/050478</t>
  </si>
  <si>
    <t>20.01.2026</t>
  </si>
  <si>
    <t>WO/2026/159569</t>
  </si>
  <si>
    <t>30.07.2026</t>
  </si>
  <si>
    <t>SYSTEMS FOR DISPENSING BATTERY(IES) BASED ON THE CATEGORY OF VEHICLE AND METHODS THEREOF</t>
  </si>
  <si>
    <t>B60L 53/80; H04W 4/44; B60S 5/06</t>
  </si>
  <si>
    <t>WO2024151215</t>
  </si>
  <si>
    <t>PCT/SG2024/050020</t>
  </si>
  <si>
    <t>11.01.2024</t>
  </si>
  <si>
    <t>WO/2024/151215</t>
  </si>
  <si>
    <t>SYSTEMS FOR MONITORING AND MANAGING MULTIPLE BATTERY CHARGING AND SWAPPING STATIONS</t>
  </si>
  <si>
    <t>B60L 53/60; G05B 19/048; G08B 21/18</t>
  </si>
  <si>
    <t>WO2025048708</t>
  </si>
  <si>
    <t>PCT/SG2023/050777</t>
  </si>
  <si>
    <t>22.11.2023</t>
  </si>
  <si>
    <t>WO/2025/048708</t>
  </si>
  <si>
    <t>AN ELECTRO-MECHANICAL LOCK WITH A MECHANICAL OVERRIDING MECHANISM AND A METHOD THEREOF</t>
  </si>
  <si>
    <t>E05B 73/00; E05B 47/02; E05B 47/00</t>
  </si>
  <si>
    <t>WO2026047538</t>
  </si>
  <si>
    <t>PCT/IB2025/058590</t>
  </si>
  <si>
    <t>WO/2026/047538</t>
  </si>
  <si>
    <t>A LOCK AND UNLOCK MECHANISM FOR AN ELECTRICAL ENERGY STORAGE DEVICE HANDLING SYSTEM</t>
  </si>
  <si>
    <t>B60S 5/06; B60L 53/80; F16B 1/04</t>
  </si>
  <si>
    <t>WO2026047523</t>
  </si>
  <si>
    <t>PCT/IB2025/058557</t>
  </si>
  <si>
    <t>WO/2026/047523</t>
  </si>
  <si>
    <t>A CASSETTE FOR AN ELECTRICAL ENERGY STORAGE DEVICE</t>
  </si>
  <si>
    <t>H01M 50/202; H01M 50/262; H01M 50/284; B60L 53/80</t>
  </si>
  <si>
    <t>WO2026185667</t>
  </si>
  <si>
    <t>PCT/IB2026/051910</t>
  </si>
  <si>
    <t>27.02.2026</t>
  </si>
  <si>
    <t>WO/2026/185667</t>
  </si>
  <si>
    <t>METHODS AND SYSTEMS FOR PREDICTING REAL-TIME BATTERY READINESS IN A BATTERY CHARGING AND INTERCHANGE STATION</t>
  </si>
  <si>
    <t>G01R 31/36; B60L 53/62</t>
  </si>
  <si>
    <t>WO2025210492</t>
  </si>
  <si>
    <t>PCT/IB2025/053391</t>
  </si>
  <si>
    <t>01.04.2025</t>
  </si>
  <si>
    <t>WO/2025/210492</t>
  </si>
  <si>
    <t>SYSTEMS AND METHODS FOR OPERATING HETEROGENOUS BATTERY PACKS IN PARALLEL</t>
  </si>
  <si>
    <t>H02J 7/00; H01M 10/44</t>
  </si>
  <si>
    <t>IN414862742</t>
  </si>
  <si>
    <t>202241024253</t>
  </si>
  <si>
    <t>A charger for charging multiple battery packs and methods for operating the same</t>
  </si>
  <si>
    <t>H02J /; B60L /; H02J /; B60L /; H05K /</t>
  </si>
  <si>
    <t>WO2024151216</t>
  </si>
  <si>
    <t>PCT/SG2024/050021</t>
  </si>
  <si>
    <t>WO/2024/151216</t>
  </si>
  <si>
    <t>THERMAL MANAGEMENT OF BATTERY PACKS AT A BATTERY CHARGING AND SWAPPING STATION</t>
  </si>
  <si>
    <t>B60L 53/302; B60L 58/24; B60L 53/60; B60L 53/80; H01M 10/60</t>
  </si>
  <si>
    <t>IN322881980</t>
  </si>
  <si>
    <t>201941042672</t>
  </si>
  <si>
    <t>21.10.2019</t>
  </si>
  <si>
    <t>23.04.2021</t>
  </si>
  <si>
    <t>METHODS AND SYSTEMS FOR SECURING HELMET(S)</t>
  </si>
  <si>
    <t>A42B /; B60R /; A42B /; A42B /; B60R /</t>
  </si>
  <si>
    <t>WO2026047566</t>
  </si>
  <si>
    <t>PCT/IB2025/058639</t>
  </si>
  <si>
    <t>WO/2026/047566</t>
  </si>
  <si>
    <t>SYSTEMS AND METHODS FOR THERMAL MANAGEMENT OF AN ELECTRICAL ENERGY STORAGE DEVICE</t>
  </si>
  <si>
    <t>WO2026047536</t>
  </si>
  <si>
    <t>PCT/IB2025/058581</t>
  </si>
  <si>
    <t>WO/2026/047536</t>
  </si>
  <si>
    <t>MODULAR FIXTURE ALIGNMENT UNIT FOR SIMULATING ELECTRICAL ENERGY STORAGE DEVICE INTERCHANGE IN VEHICLES</t>
  </si>
  <si>
    <t>B65G 1/06; B60S 5/06; B65G 1/10; B23Q 1/26</t>
  </si>
  <si>
    <t>WO2025198516</t>
  </si>
  <si>
    <t>PCT/SG2024/050174</t>
  </si>
  <si>
    <t>25.03.2024</t>
  </si>
  <si>
    <t>WO/2025/198516</t>
  </si>
  <si>
    <t>MONITORING AND STORING BATTERY AND VEHICLE-RELATED PARAMETERS IN A SWAPPABLE BATTERY PACK</t>
  </si>
  <si>
    <t>B60L 50/64; B60L 58/10; H01M 10/48; B60L 53/80</t>
  </si>
  <si>
    <t>WO2024167460</t>
  </si>
  <si>
    <t>PCT/SG2024/050026</t>
  </si>
  <si>
    <t>WO/2024/167460</t>
  </si>
  <si>
    <t>15.08.2024</t>
  </si>
  <si>
    <t>SAFETY AND SECURITY MECHANISMS FOR A BATTERY CHARGING AND SWAPPING STATION</t>
  </si>
  <si>
    <t>B60L 53/60; G05B 19/048; G05B 23/02; B60L 53/80</t>
  </si>
  <si>
    <t>IN297814665</t>
  </si>
  <si>
    <t>201841044681</t>
  </si>
  <si>
    <t>27.11.2018</t>
  </si>
  <si>
    <t>29.05.2020</t>
  </si>
  <si>
    <t>A BATTERY DOCK</t>
  </si>
  <si>
    <t>A43B /; G01D /; G01S /; H04R /; B60R /</t>
  </si>
  <si>
    <t>SG306154385</t>
  </si>
  <si>
    <t>10201911094R</t>
  </si>
  <si>
    <t>25.11.2019</t>
  </si>
  <si>
    <t>A battery dock</t>
  </si>
  <si>
    <t>BR334753025</t>
  </si>
  <si>
    <t>112021010195</t>
  </si>
  <si>
    <t>27.11.2019</t>
  </si>
  <si>
    <t>17.08.2021</t>
  </si>
  <si>
    <t>base de recepção de bateria</t>
  </si>
  <si>
    <t>H01M 2; B60R 16; B60L 58</t>
  </si>
  <si>
    <t>PH340316648</t>
  </si>
  <si>
    <t>1/2021/551199</t>
  </si>
  <si>
    <t>25.05.2021</t>
  </si>
  <si>
    <t>25.10.2021</t>
  </si>
  <si>
    <t>B60L 58/10; B60R 16/033; H01M 2/10</t>
  </si>
  <si>
    <t>PE337216376</t>
  </si>
  <si>
    <t>2021000764</t>
  </si>
  <si>
    <t>2021-1554</t>
  </si>
  <si>
    <t>16.08.2021</t>
  </si>
  <si>
    <t>PE</t>
  </si>
  <si>
    <t>UNA BASE DE BATERIA</t>
  </si>
  <si>
    <t>CO331945408</t>
  </si>
  <si>
    <t>20210008339</t>
  </si>
  <si>
    <t>25.06.2021</t>
  </si>
  <si>
    <t>UN SOPORTE PARA BATERÍA</t>
  </si>
  <si>
    <t>H01M 2/10; B60R 16/033</t>
  </si>
  <si>
    <t>VN366952160</t>
  </si>
  <si>
    <t>1202103842</t>
  </si>
  <si>
    <t>1/081762</t>
  </si>
  <si>
    <t>25.11.2021</t>
  </si>
  <si>
    <t>WO2020112026</t>
  </si>
  <si>
    <t>PCT/SG2019/050581</t>
  </si>
  <si>
    <t>WO/2020/112026</t>
  </si>
  <si>
    <t>04.06.2020</t>
  </si>
  <si>
    <t>B60R 16/033; B60L 58/10; H01M 2/10</t>
  </si>
  <si>
    <t>BR477916281</t>
  </si>
  <si>
    <t>BR112021010195</t>
  </si>
  <si>
    <t>28.04.2026</t>
  </si>
  <si>
    <t>BASE DE RECEPÇÃO DE BATERIA</t>
  </si>
  <si>
    <t>B60R 16; B60L 58; H01M 2</t>
  </si>
  <si>
    <t>PH474617588</t>
  </si>
  <si>
    <t>12021551199</t>
  </si>
  <si>
    <t>WO2024151214</t>
  </si>
  <si>
    <t>PCT/SG2024/050019</t>
  </si>
  <si>
    <t>WO/2024/151214</t>
  </si>
  <si>
    <t>A PORTABLE BATTERY CHARGING AND SWAPPING STATION</t>
  </si>
  <si>
    <t>B60L 53/30; B60L 53/80; H01M 50/204</t>
  </si>
  <si>
    <t>WO2023211381</t>
  </si>
  <si>
    <t>PCT/SG2023/050285</t>
  </si>
  <si>
    <t>WO/2023/211381</t>
  </si>
  <si>
    <t>A CHARGER FOR CHARGING MULTIPLE BATTERY PACKS AND METHODS FOR OPERATING THE SAME</t>
  </si>
  <si>
    <t>B60L 53/60; B60L 58/22; H01M 10/44</t>
  </si>
  <si>
    <t>WO2025068968</t>
  </si>
  <si>
    <t>PCT/IB2024/059467</t>
  </si>
  <si>
    <t>27.09.2024</t>
  </si>
  <si>
    <t>WO/2025/068968</t>
  </si>
  <si>
    <t>03.04.2025</t>
  </si>
  <si>
    <t>SYSTEMS AND METHODS FOR DETERMINING BATTERY DISPENSING TIME OF BATTERY PACK(S)</t>
  </si>
  <si>
    <t>B60L 53/80; B60L 53/60</t>
  </si>
  <si>
    <t>WO2026047537</t>
  </si>
  <si>
    <t>PCT/IB2025/058585</t>
  </si>
  <si>
    <t>WO/2026/047537</t>
  </si>
  <si>
    <t>A CLAMPING AND LOCKING ASSEMBLY FOR A CASSETTE</t>
  </si>
  <si>
    <t>B60K 1/04; F16B 1/04; F16B 2/14; B60S 5/06; B60L 53/80</t>
  </si>
  <si>
    <t>WO2025198517</t>
  </si>
  <si>
    <t>PCT/SG2024/050176</t>
  </si>
  <si>
    <t>26.03.2024</t>
  </si>
  <si>
    <t>WO/2025/198517</t>
  </si>
  <si>
    <t>SYSTEMS AND METHODS FOR PREDICTING/EVALUATING STATE-OF-VARIBALE (SOX) OF AN ENERGY STORAGE DEVICE</t>
  </si>
  <si>
    <t>G01R 31/26; G01R 31/367; G01R 31/392</t>
  </si>
  <si>
    <t>PE474737503</t>
  </si>
  <si>
    <t>2025000714</t>
  </si>
  <si>
    <t>2026-0238</t>
  </si>
  <si>
    <t>28.01.2026</t>
  </si>
  <si>
    <t>MECANISMO DE ASA PARA UNA BATERIA INTERCAMBIABLE Y PORTATIL</t>
  </si>
  <si>
    <t>WO2026047562</t>
  </si>
  <si>
    <t>PCT/IB2025/058633</t>
  </si>
  <si>
    <t>WO/2026/047562</t>
  </si>
  <si>
    <t>METHODS AND SYSTEMS FOR DETECTING CASSETTE(S) IN A CHARGING AND INTERCHANGE STATION</t>
  </si>
  <si>
    <t>B60L 53/30; B60L 53/65; B60L 53/68; B60L 53/80</t>
  </si>
  <si>
    <t>WO2026047532</t>
  </si>
  <si>
    <t>PCT/IB2025/058574</t>
  </si>
  <si>
    <t>WO/2026/047532</t>
  </si>
  <si>
    <t>AN AUTOMATED CASSETTE HANDLING SYSTEM</t>
  </si>
  <si>
    <t>B60L 53/80; B60S 5/06; B66F 7/02</t>
  </si>
  <si>
    <t>11_Ultraviolette_Automotive_raw.xls</t>
  </si>
  <si>
    <t>IN389954260</t>
  </si>
  <si>
    <t>202241074224</t>
  </si>
  <si>
    <t>A SYSTEM TO SAFELY CONNECT A BATTERY PACK TO A BATTERY MANAGEMENT SYSTEM BOARD</t>
  </si>
  <si>
    <t>H02J /; A61N /; H01M /; H04L /; B60L /</t>
  </si>
  <si>
    <t>Ultraviolette Automotive Private Limited</t>
  </si>
  <si>
    <t>19.10.2026 07:09:59</t>
  </si>
  <si>
    <t>IN394088624</t>
  </si>
  <si>
    <t>202341011684</t>
  </si>
  <si>
    <t>DETECTING UNAUTHORIZED OR MALFUNCTIONING PERIPHERAL COMPONENT ON AN ELECTRIC TWO-WHEELER</t>
  </si>
  <si>
    <t>B41J /; B60H /; G01B /; H01L /; H01M /</t>
  </si>
  <si>
    <t>IN372954725</t>
  </si>
  <si>
    <t>202241046447</t>
  </si>
  <si>
    <t>26.08.2022</t>
  </si>
  <si>
    <t>A SUPPORT STRUCTURE FOR BATTERY CELLS IN A BATTERY PACK</t>
  </si>
  <si>
    <t>ULTRAVIOLETTE AUTOMOTIVE PRIVATE LIMITED</t>
  </si>
  <si>
    <t>IN433665239</t>
  </si>
  <si>
    <t>202341001046</t>
  </si>
  <si>
    <t>05.01.2023</t>
  </si>
  <si>
    <t>AN ENCAPSULATED CHARGER WITH PROVISION FOR DIELECTRIC WITHSTAND VOLTAGE TESTING AND SURGE TESTING</t>
  </si>
  <si>
    <t>G01R 31/12; H01T 4/00; H01T 4/06; H02H 9/02; H02H 9/06</t>
  </si>
  <si>
    <t>IN360723014</t>
  </si>
  <si>
    <t>202241022509</t>
  </si>
  <si>
    <t>15.04.2022</t>
  </si>
  <si>
    <t>FRAME STRUCTURE FOR A SADDLE-RIDE TYPE ELECTRIC VEHICLE</t>
  </si>
  <si>
    <t>B62K /; B62J /; B62K /; A01D /; B62D /</t>
  </si>
  <si>
    <t>IN362988340</t>
  </si>
  <si>
    <t>202241026209</t>
  </si>
  <si>
    <t>05.05.2022</t>
  </si>
  <si>
    <t>20.05.2022</t>
  </si>
  <si>
    <t>SIDE STAND FOR SADDLE-RIDE TYPE VEHICLE</t>
  </si>
  <si>
    <t>B62H /; F16M /; F02D /; F16M /; B26D /</t>
  </si>
  <si>
    <t>IN397756225</t>
  </si>
  <si>
    <t>202341023053</t>
  </si>
  <si>
    <t>A METHOD AND SYSTEM TO DETECT THERMAL RUNAWAY AT AN EARLY STAGE IN A BATTERY PACK</t>
  </si>
  <si>
    <t>WO2024038468</t>
  </si>
  <si>
    <t>PCT/IN2023/050775</t>
  </si>
  <si>
    <t>WO/2024/038468</t>
  </si>
  <si>
    <t>22.02.2024</t>
  </si>
  <si>
    <t>AN UNIQUE SYSTEM AND METHOD FOR CARRYING HIGH CURRENT IN AN ELECTRONIC PRINTED CIRCUIT BOARD</t>
  </si>
  <si>
    <t>H01L 21/70; H01L 23/52; H01R 12/55</t>
  </si>
  <si>
    <t>IN290773006</t>
  </si>
  <si>
    <t>201841033717</t>
  </si>
  <si>
    <t>07.09.2018</t>
  </si>
  <si>
    <t>13.03.2020</t>
  </si>
  <si>
    <t>SYSTEM AND METHOD TO DETECT A FAULT IN A BATTERY</t>
  </si>
  <si>
    <t>G01K /; H01M /; G01R /; G01K /; G01K /</t>
  </si>
  <si>
    <t>Ultraviolette Automotive Pvt. Ltd.</t>
  </si>
  <si>
    <t>IN360723015</t>
  </si>
  <si>
    <t>202241022510</t>
  </si>
  <si>
    <t>A METHOD AND SYSTEM FOR CONFIGURING AN ETHERNET SWITCH IN AN ELECTRIC TWO-WHEELER</t>
  </si>
  <si>
    <t>H04L /; H04L /; H04L /; G06T /; H04L /</t>
  </si>
  <si>
    <t>IN346040039</t>
  </si>
  <si>
    <t>202141055593</t>
  </si>
  <si>
    <t>01.12.2021</t>
  </si>
  <si>
    <t>10.12.2021</t>
  </si>
  <si>
    <t>B62J /; B62K /; B62J /; B62K /; A01D /</t>
  </si>
  <si>
    <t>IN362988816</t>
  </si>
  <si>
    <t>202241026218</t>
  </si>
  <si>
    <t>AN UNIQUE TEST METHOD FOR EFFECTIVELY DETECTING FAULTS IN ELECTRICAL INTERCONNECTION IN A BATTERY PACK</t>
  </si>
  <si>
    <t>H01L /; H05K /; H01L /; G01R /; H05K /</t>
  </si>
  <si>
    <t>IN376065113</t>
  </si>
  <si>
    <t>202241054489</t>
  </si>
  <si>
    <t>23.09.2022</t>
  </si>
  <si>
    <t>METHOD AND SYSTEM FOR REVIVING DISCHARGED AUXILIARY BATTERY IN ELECTRIC VEHICLE WITH ALTERNATING CURRENT ARCHITECTURE</t>
  </si>
  <si>
    <t>H02J /; B60L /; B60W /; B60L /; B60L /</t>
  </si>
  <si>
    <t>IN438211553</t>
  </si>
  <si>
    <t>202441054830</t>
  </si>
  <si>
    <t>A SYSTEM AND METHOD FOR DETECTING AND RESPONDING TO UNAUTHORISED ACCESS TO VEHICLE BATTERY PACK</t>
  </si>
  <si>
    <t>H01M /; H01M /; B60R /; B60R /; B60R /</t>
  </si>
  <si>
    <t>IN290875963</t>
  </si>
  <si>
    <t>201841032830</t>
  </si>
  <si>
    <t>06.03.2020</t>
  </si>
  <si>
    <t>A CELL INTERCONNECTION SYSTEM FOR ELECTRICAL AND THERMAL MANAGEMENT IN A BATTERY PACK</t>
  </si>
  <si>
    <t>H01M /; H05K /; H05K /; H05K /; H05K /</t>
  </si>
  <si>
    <t>IN376065110</t>
  </si>
  <si>
    <t>202241054486</t>
  </si>
  <si>
    <t>CONTROLLING REGENERATIVE BRAKING OF AN ELECTRIC VEHICLE OPERATED UNDER ACTIVATED REGENERATIVE BRAKING MODE</t>
  </si>
  <si>
    <t>B60W /; B60L /; B60L /; B60W /; B60L /</t>
  </si>
  <si>
    <t>WO2020044275</t>
  </si>
  <si>
    <t>PCT/IB2019/057276</t>
  </si>
  <si>
    <t>29.08.2019</t>
  </si>
  <si>
    <t>WO/2020/044275</t>
  </si>
  <si>
    <t>05.03.2020</t>
  </si>
  <si>
    <t>A SYSTEM TO INTERCONNECT A PLURALITY OF BATTERY CELLS WITHIN A BATTERY PACK</t>
  </si>
  <si>
    <t>H01M 10/60; H01M 10/48; H01M 2/20; H02J 7/00</t>
  </si>
  <si>
    <t>ULTRAVIOLETTE AUTOMOTIVE PVT. LTD.</t>
  </si>
  <si>
    <t>IN300870803</t>
  </si>
  <si>
    <t>201841034436</t>
  </si>
  <si>
    <t>12.12.2018</t>
  </si>
  <si>
    <t>A SYSTEM FOR CELL LEVEL SHORT CIRCUIT PROTECTION IN A BATTERY PACK</t>
  </si>
  <si>
    <t>H01M 10/34</t>
  </si>
  <si>
    <t>Ultraviolette Automotive  Pvt. Ltd.</t>
  </si>
  <si>
    <t>IN367111840</t>
  </si>
  <si>
    <t>202241032945</t>
  </si>
  <si>
    <t>09.06.2022</t>
  </si>
  <si>
    <t>17.06.2022</t>
  </si>
  <si>
    <t>A USER-CONTROLLED KINETIC ENERGY RECOVERY SYSTEM FOR AN ELECTRIC VEHICLE</t>
  </si>
  <si>
    <t>E02F /; B60L /; B60L /; B60K /; H02P /</t>
  </si>
  <si>
    <t>IN372954224</t>
  </si>
  <si>
    <t>202241046450</t>
  </si>
  <si>
    <t>METHOD AND SYSTEM FOR CONTROLLING REGENERATIVE BRAKING</t>
  </si>
  <si>
    <t>IN391898553</t>
  </si>
  <si>
    <t>202341006450</t>
  </si>
  <si>
    <t>IMPROVED CURRENT DISTRIBUTION ON A POWER DISTRIBUTION UNIT PRINTED CIRCUIT BOARD</t>
  </si>
  <si>
    <t>H02J /; H05K /; H02J /; H02J /; H01R /</t>
  </si>
  <si>
    <t>IN275740195</t>
  </si>
  <si>
    <t>201741010719</t>
  </si>
  <si>
    <t>27.03.2017</t>
  </si>
  <si>
    <t>A VEHICLE WITH A HOUSING FOR REMOVABLY RETAINING AT LEAST A  PORTABLE ENERGY STORAGE DEVICE</t>
  </si>
  <si>
    <t>B60K 1/04</t>
  </si>
  <si>
    <t>ULTRAVIOLETTE  AUTOMOTIVE  PRIVATE LIMITED</t>
  </si>
  <si>
    <t>IN372954223</t>
  </si>
  <si>
    <t>202241046449</t>
  </si>
  <si>
    <t>H05K /; H05K /; H05K /; H05K /; H01J /</t>
  </si>
  <si>
    <t>WO2018178837</t>
  </si>
  <si>
    <t>PCT/IB2018/052021</t>
  </si>
  <si>
    <t>26.03.2018</t>
  </si>
  <si>
    <t>WO/2018/178837</t>
  </si>
  <si>
    <t>04.10.2018</t>
  </si>
  <si>
    <t>A VEHICLE WITH A HOUSING FOR REMOVABLY RETAINING AT LEAST A PORTABLE ENERGY STORAGE DEVICE</t>
  </si>
  <si>
    <t>H01M 2/00; B60R 16/04; B60S 5/06</t>
  </si>
  <si>
    <t>WO2023214429</t>
  </si>
  <si>
    <t>PCT/IN2023/050422</t>
  </si>
  <si>
    <t>WO/2023/214429</t>
  </si>
  <si>
    <t>H01M 10/60; H01M 50/519; G01R 31/70; G01R 31/71; H05K 1/05</t>
  </si>
  <si>
    <t>IN355932740</t>
  </si>
  <si>
    <t>202241014670</t>
  </si>
  <si>
    <t>16.03.2022</t>
  </si>
  <si>
    <t>25.03.2022</t>
  </si>
  <si>
    <t>A HOLDER STRUCTURE FOR BATTERY ASSEMBLY</t>
  </si>
  <si>
    <t>H01M /; F21Y /; F16J /; H01M /; H01M /</t>
  </si>
  <si>
    <t>IN376065111</t>
  </si>
  <si>
    <t>202241054487</t>
  </si>
  <si>
    <t>AN UNIQUE SYSTEM AND METHOD FOR IMPLEMENTING REDUNDANT PROTECTIONS IN A BATTERY MANAGEMENT SYSTEM</t>
  </si>
  <si>
    <t>H02P /; E05F /; A61B /; G01R /; H04L /</t>
  </si>
  <si>
    <t>IN414836830</t>
  </si>
  <si>
    <t>202341051977</t>
  </si>
  <si>
    <t>A SYSTEM AND METHOD TO ISOLATE FAULTY BATTERY CELL IN A BATTERY PACK</t>
  </si>
  <si>
    <t>H01M /; H01M /; G01R /; H02J /; H01M /</t>
  </si>
  <si>
    <t>WO2023199349</t>
  </si>
  <si>
    <t>PCT/IN2023/050346</t>
  </si>
  <si>
    <t>10.04.2023</t>
  </si>
  <si>
    <t>WO/2023/199349</t>
  </si>
  <si>
    <t>19.10.2023</t>
  </si>
  <si>
    <t>FRAME STRUCTURE FOR A SADDLE-RIDE TYPE ELECTRIC</t>
  </si>
  <si>
    <t>B62K 11/02</t>
  </si>
  <si>
    <t>IN348040646</t>
  </si>
  <si>
    <t>202141059641</t>
  </si>
  <si>
    <t>07.01.2022</t>
  </si>
  <si>
    <t>FRAME STRUCTURE FOR A SADDLE-RIDE TYPE VEHICLE</t>
  </si>
  <si>
    <t>B62K /; B62J /; B62K /; B62K /; B62K /</t>
  </si>
  <si>
    <t>IN367113057</t>
  </si>
  <si>
    <t>202241033778</t>
  </si>
  <si>
    <t>13.06.2022</t>
  </si>
  <si>
    <t>24.06.2022</t>
  </si>
  <si>
    <t>SYSTEM PROVIDING SINGLE INPUT CONNECTION FOR SWITCHES OF HIGH CURRENT FUNCTION IN A CONTROL UNIT</t>
  </si>
  <si>
    <t>G06F /; G06F /; H02H /; F02N /; B60L /</t>
  </si>
  <si>
    <t>IN376951123</t>
  </si>
  <si>
    <t>202241057348</t>
  </si>
  <si>
    <t>06.10.2022</t>
  </si>
  <si>
    <t>A WATERPROOF CHARGER APPARATUS FOR A BATTERY PACK</t>
  </si>
  <si>
    <t>H02J /; H02J /; H02J /; B60L /; B60L /</t>
  </si>
  <si>
    <t>IN433665240</t>
  </si>
  <si>
    <t>202341001341</t>
  </si>
  <si>
    <t>A METHOD AND SYSTEM TO PROVIDE CONTROLLED EXTRACTION OF ENERGY FROM TWO-WHEELER ELECTRIC VEHICLE</t>
  </si>
  <si>
    <t>B60L 53/20; B60L 58/00; B60L 58/10; B60L 58/14; H01M 10/44; H02J 7/00</t>
  </si>
  <si>
    <t>IN391899522</t>
  </si>
  <si>
    <t>202341004414</t>
  </si>
  <si>
    <t>23.01.2023</t>
  </si>
  <si>
    <t>A BATTERY MODULE OF A BATTERY PACK TO MAXIMISE ENERGY DENSITY</t>
  </si>
  <si>
    <t>IN380606505</t>
  </si>
  <si>
    <t>202241067796</t>
  </si>
  <si>
    <t>A SYSTEM AND METHOD FOR IMPROVING BATTERY SAFETY BY PREVENTING FIRE AND EXPLOSION</t>
  </si>
  <si>
    <t>F24F /; B60L /; H01M /; B60Q /; H04W /</t>
  </si>
  <si>
    <t>IN376065112</t>
  </si>
  <si>
    <t>202241054488</t>
  </si>
  <si>
    <t>METHOD AND SYSTEM FOR REVIVING DISCHARGED AUXILIARY BATTERY IN ELECTRIC VEHICLE WITH DIRECT CURRENT ARCHITECTURE</t>
  </si>
  <si>
    <t>B60L /; B60W /; B60L /; H02J /; B60W /</t>
  </si>
  <si>
    <t>IN414832807</t>
  </si>
  <si>
    <t>202341049255</t>
  </si>
  <si>
    <t>21.07.2023</t>
  </si>
  <si>
    <t>ASSISTING THE STABILITY CONTROL OF AN ELECTRIC VEHICLE UNDER A WHEEL-SLIP CONDITION</t>
  </si>
  <si>
    <t>B60L /; B60L /; B60W /; G01P /; B60L /</t>
  </si>
  <si>
    <t>WO2024116199</t>
  </si>
  <si>
    <t>PCT/IN2023/051102</t>
  </si>
  <si>
    <t>27.11.2023</t>
  </si>
  <si>
    <t>WO/2024/116199</t>
  </si>
  <si>
    <t>06.06.2024</t>
  </si>
  <si>
    <t>PREVENTION OF ENERGY THEFT FROM A TRACTION BATTERY IN AN ELECTRIC VEHICLE</t>
  </si>
  <si>
    <t>B60R 25/042; B60L 58/12; B60R 25/32</t>
  </si>
  <si>
    <t>IN375171525</t>
  </si>
  <si>
    <t>202241050958</t>
  </si>
  <si>
    <t>06.09.2022</t>
  </si>
  <si>
    <t>VEHICLE CONTROL UNIT FOR A SADDLE-RIDE TYPE VEHICLE</t>
  </si>
  <si>
    <t>G01N /; A61P /; H04W /; C07D /; H01L /</t>
  </si>
  <si>
    <t>IN366093645</t>
  </si>
  <si>
    <t>202241028062</t>
  </si>
  <si>
    <t>16.05.2022</t>
  </si>
  <si>
    <t>10.06.2022</t>
  </si>
  <si>
    <t>MOTOR CASE FOR A SADDLE-RIDE TYPE VEHICLE</t>
  </si>
  <si>
    <t>B62K /; H02K /; B62K /; B66B /; E03D /</t>
  </si>
  <si>
    <t>IN372954222</t>
  </si>
  <si>
    <t>202241046448</t>
  </si>
  <si>
    <t>A PACKAGING APPARATUS FOR A BATTERY PACK</t>
  </si>
  <si>
    <t>H01M /; H03M /; H05K /; B65D /; H01M /</t>
  </si>
  <si>
    <t>IN380605976</t>
  </si>
  <si>
    <t>202241066915</t>
  </si>
  <si>
    <t>22.11.2022</t>
  </si>
  <si>
    <t>A VEHICLE KEY FOR MEASURING CHAIN SLACKNESS</t>
  </si>
  <si>
    <t>F16H /; F16G /; H02J /; H04W /; G01C /</t>
  </si>
  <si>
    <t>IN389954185</t>
  </si>
  <si>
    <t>202241069392</t>
  </si>
  <si>
    <t>01.12.2022</t>
  </si>
  <si>
    <t>B60L /; B60L /; H01M /; B60L /; B60L /</t>
  </si>
  <si>
    <t>15_Matter_raw.xls</t>
  </si>
  <si>
    <t>IN355932994</t>
  </si>
  <si>
    <t>202221013387</t>
  </si>
  <si>
    <t>11.03.2022</t>
  </si>
  <si>
    <t>A COMPACT POWER-PACK ASSEMBLY FOR AN ELECTRIC VEHICLE</t>
  </si>
  <si>
    <t>H04W /; B60L /; H04L /; H01B /; H01M /</t>
  </si>
  <si>
    <t>MATTER MOTOR WORKS PRIVATE LIMITED</t>
  </si>
  <si>
    <t>19.10.2026 07:16:16</t>
  </si>
  <si>
    <t>IN435570354</t>
  </si>
  <si>
    <t>202221041608</t>
  </si>
  <si>
    <t>20.07.2022</t>
  </si>
  <si>
    <t>COOLING PLATE INTEGRATED CELL HOLDER FOR BATTERY MODULE</t>
  </si>
  <si>
    <t>IN453984076</t>
  </si>
  <si>
    <t>202421024550</t>
  </si>
  <si>
    <t>27.03.2024</t>
  </si>
  <si>
    <t>METHOD AND SYSTEM FOR INSULATION MEASUREMENT</t>
  </si>
  <si>
    <t>G01R /; H05B /; B60L /; G01R /; G01R /</t>
  </si>
  <si>
    <t>Matter Motor Works Private Limited</t>
  </si>
  <si>
    <t>IN348662991</t>
  </si>
  <si>
    <t>202221000692</t>
  </si>
  <si>
    <t>06.01.2022</t>
  </si>
  <si>
    <t>21.01.2022</t>
  </si>
  <si>
    <t>A PARALLEL COOLING SYSTEM FOR AN ELECTRIC MOTOR</t>
  </si>
  <si>
    <t>H02K /; H02K /; H02K /; H02K /; H02K /</t>
  </si>
  <si>
    <t>IN414850698</t>
  </si>
  <si>
    <t>202221040548</t>
  </si>
  <si>
    <t>15.07.2022</t>
  </si>
  <si>
    <t>TWO PART REAR END COVER FOR MOTOR OF ELECTRIC VEHICLE</t>
  </si>
  <si>
    <t>IN435571353</t>
  </si>
  <si>
    <t>202221049851</t>
  </si>
  <si>
    <t>31.08.2022</t>
  </si>
  <si>
    <t>06.10.2023</t>
  </si>
  <si>
    <t>TWO-PART STATOR TOOTH FOR A MOTOR</t>
  </si>
  <si>
    <t>B01J /; G06K /; H01M /; A47J /; F21V /</t>
  </si>
  <si>
    <t>IN453984080</t>
  </si>
  <si>
    <t>202421026809</t>
  </si>
  <si>
    <t>31.03.2024</t>
  </si>
  <si>
    <t>SYSTEM TO ENHANCE CYBERSECURITY DURING CHARGING OF AN ELECTRIC VEHICLE</t>
  </si>
  <si>
    <t>B60L 53/66; G06F 21/55; H04L 9/32</t>
  </si>
  <si>
    <t>IN453984074</t>
  </si>
  <si>
    <t>202421024548</t>
  </si>
  <si>
    <t>POWERTRAIN UNIT FOR ELECTRIC VEHICLE</t>
  </si>
  <si>
    <t>F16H 48/36; F16H 1/28; F16H 3/62</t>
  </si>
  <si>
    <t>IN453984079</t>
  </si>
  <si>
    <t>202421026808</t>
  </si>
  <si>
    <t>SYSTEM TO DETECT ANOMALIES IN VEHICLE DATA</t>
  </si>
  <si>
    <t>G06N 20/00; G06F 21/55; H04L 67/12</t>
  </si>
  <si>
    <t>IN451736144</t>
  </si>
  <si>
    <t>202221062152</t>
  </si>
  <si>
    <t>01.11.2022</t>
  </si>
  <si>
    <t>08.12.2023</t>
  </si>
  <si>
    <t>HIERARCHICAL BATTERY MANAGEMENT SYSTEM</t>
  </si>
  <si>
    <t>H02J /; H01M /; E21B /; G06F /; G06F /</t>
  </si>
  <si>
    <t>WO2023170648</t>
  </si>
  <si>
    <t>PCT/IB2023/052313</t>
  </si>
  <si>
    <t>10.03.2023</t>
  </si>
  <si>
    <t>WO/2023/170648</t>
  </si>
  <si>
    <t>14.09.2023</t>
  </si>
  <si>
    <t>ELECTRIC MOTOR COOLING SYSTEM FOR ELECTRIC VEHICLES</t>
  </si>
  <si>
    <t>B60K 11/02; H02K 9/19</t>
  </si>
  <si>
    <t>WO2024047521</t>
  </si>
  <si>
    <t>PCT/IB2023/058518</t>
  </si>
  <si>
    <t>29.08.2023</t>
  </si>
  <si>
    <t>WO/2024/047521</t>
  </si>
  <si>
    <t>FAULT DIAGNOSTIC SYSTEM FOR DC-DC CONVERTER</t>
  </si>
  <si>
    <t>B60L 3/00; G01R 31/327; H02J 7/00; B60L 53/00</t>
  </si>
  <si>
    <t>IN346037719</t>
  </si>
  <si>
    <t>202121054085</t>
  </si>
  <si>
    <t>24.11.2021</t>
  </si>
  <si>
    <t>AN UNIVERSAL ON-BOARD CHARGER CUM INVERTER SYSTEM</t>
  </si>
  <si>
    <t>H02J /; B60L /; B60L /; B60L /; B60L /</t>
  </si>
  <si>
    <t>IN355931689</t>
  </si>
  <si>
    <t>202221013511</t>
  </si>
  <si>
    <t>A DUAL CRADLE FRAME FOR AN ELECTRIC VEHICLE</t>
  </si>
  <si>
    <t>B60L /; B60L /; B60R /; B60L /; B60L /</t>
  </si>
  <si>
    <t>IN376064548</t>
  </si>
  <si>
    <t>202221041426</t>
  </si>
  <si>
    <t>19.07.2022</t>
  </si>
  <si>
    <t>METHOD AND SYSTEM FOR END-OF-LINE TESTING OF VEHICLES</t>
  </si>
  <si>
    <t>G07C /; G07C /; H01M /; G01N /; G01R /</t>
  </si>
  <si>
    <t>IN414848669</t>
  </si>
  <si>
    <t>202221049850</t>
  </si>
  <si>
    <t>VARIABLE OUTPUT CHARGER FOR ELECTRIC VEHICLE</t>
  </si>
  <si>
    <t>A61P /; A61P /; C07J /; A61P /; A61P /</t>
  </si>
  <si>
    <t>IN414853673</t>
  </si>
  <si>
    <t>202221055800</t>
  </si>
  <si>
    <t>28.09.2022</t>
  </si>
  <si>
    <t>ENERGY TRANSFER CONTROL STRATEGY FOR MICROGRID</t>
  </si>
  <si>
    <t>H02J /; H01M /; H05B /; B60K /; F24F /</t>
  </si>
  <si>
    <t>IN435569867</t>
  </si>
  <si>
    <t>202221041423</t>
  </si>
  <si>
    <t>CASE MOUNTED STATOR ASSEMBLY FOR YOKELESS MOTOR</t>
  </si>
  <si>
    <t>US447597183</t>
  </si>
  <si>
    <t>18712810</t>
  </si>
  <si>
    <t>20.11.2022</t>
  </si>
  <si>
    <t>20250033501</t>
  </si>
  <si>
    <t>Universal on-board charger cum inverter system</t>
  </si>
  <si>
    <t>B60L 53/24</t>
  </si>
  <si>
    <t>WO2023094959</t>
  </si>
  <si>
    <t>PCT/IB2022/061183</t>
  </si>
  <si>
    <t>WO/2023/094959</t>
  </si>
  <si>
    <t>B60L 53/20; B60L 53/22</t>
  </si>
  <si>
    <t>WO2024003770</t>
  </si>
  <si>
    <t>PCT/IB2023/056681</t>
  </si>
  <si>
    <t>28.06.2023</t>
  </si>
  <si>
    <t>WO/2024/003770</t>
  </si>
  <si>
    <t>04.01.2024</t>
  </si>
  <si>
    <t>ISOLATION MEASUREMENT ARRANGEMENT FOR ELECTRIC VEHICLES</t>
  </si>
  <si>
    <t>B60L 3/12; G01R 31/382</t>
  </si>
  <si>
    <t>US471830866</t>
  </si>
  <si>
    <t>19343027</t>
  </si>
  <si>
    <t>29.09.2025</t>
  </si>
  <si>
    <t>20260027927</t>
  </si>
  <si>
    <t>29.01.2026</t>
  </si>
  <si>
    <t>ON-BOARD CHARGER AND INVERTER SYSTEM FOR VEHICLES</t>
  </si>
  <si>
    <t>B60L 53/24; B60L 3/00; B60L 3/04; B60L 7/14; B60L 53/62; G01R 31/12; G01R 31/52; H02J 7/00; H02J 7/14</t>
  </si>
  <si>
    <t>IN380603899</t>
  </si>
  <si>
    <t>202221041425</t>
  </si>
  <si>
    <t>METHOD AND SYSTEM FOR OPTIMIZING DESIGN OF ELECTRONIC ASSEMBLY</t>
  </si>
  <si>
    <t>H05K /; G01R /; G06F /; B60W /; G06F /</t>
  </si>
  <si>
    <t>IN414853674</t>
  </si>
  <si>
    <t>202221055801</t>
  </si>
  <si>
    <t>SHORT-CIRCUIT DETECTION CIRCUIT</t>
  </si>
  <si>
    <t>G01K /; H02J /; B60L /; B66B /; G01R /</t>
  </si>
  <si>
    <t>IN453983119</t>
  </si>
  <si>
    <t>202421021041</t>
  </si>
  <si>
    <t>ELECTRO-MAGNETIC CLUTCH ASSEMBLY</t>
  </si>
  <si>
    <t>F16D 27/02; F16D 27/00; F16H 63/00; B60K 17/00</t>
  </si>
  <si>
    <t>IN453984071</t>
  </si>
  <si>
    <t>202421024543</t>
  </si>
  <si>
    <t>SYSTEM AND METHOD FOR LOCATING AN ELECTRONIC KEY DEVICE WITHIN A COMMUNICATION MESH</t>
  </si>
  <si>
    <t>H04W 4/80; H04W 84/18; H04W 4/02; H04W 64/00</t>
  </si>
  <si>
    <t>IN453984072</t>
  </si>
  <si>
    <t>202421024544</t>
  </si>
  <si>
    <t>TRANSMISSION SYSTEM FOR AN ELECTRIC VEHICLE</t>
  </si>
  <si>
    <t>B60K 23/00; B60K 20/00; B60L 15/20; B60W 30/19; B60W 10/10</t>
  </si>
  <si>
    <t>IN435570854</t>
  </si>
  <si>
    <t>202221044121</t>
  </si>
  <si>
    <t>02.08.2022</t>
  </si>
  <si>
    <t>SYSTEM FOR PREVENTING SHOOT-THROUGH CONDITIONS IN TRACTION INVERTERS</t>
  </si>
  <si>
    <t>H02M /; H02M /; G01R /; H02P /; H02M /</t>
  </si>
  <si>
    <t>IN453983117</t>
  </si>
  <si>
    <t>202421021037</t>
  </si>
  <si>
    <t>TRANSMISSION SYSTEM FOR A VEHICLE</t>
  </si>
  <si>
    <t>B60K 1/00; H02K 7/10; B60K 7/00; H02K 7/00</t>
  </si>
  <si>
    <t>IN453983586</t>
  </si>
  <si>
    <t>202421022016</t>
  </si>
  <si>
    <t>21.03.2024</t>
  </si>
  <si>
    <t>METHOD FOR MONITORING INSULATION STATE OF ELECTRIC DRIVE</t>
  </si>
  <si>
    <t>G01R 31/12; G01R 31/34; G01R 31/14</t>
  </si>
  <si>
    <t>IN453983118</t>
  </si>
  <si>
    <t>202421021040</t>
  </si>
  <si>
    <t>METHOD FOR INSULATION DETECTION OF MOTOR DRIVE</t>
  </si>
  <si>
    <t>G01R 31/52; H02P 23/14; H02P 27/06; H03H 7/01</t>
  </si>
  <si>
    <t>IN453983116</t>
  </si>
  <si>
    <t>202421020631</t>
  </si>
  <si>
    <t>19.03.2024</t>
  </si>
  <si>
    <t>FIELD CONTROLLED ELECTROMAGNET MACHINE</t>
  </si>
  <si>
    <t>B60L 50/10; H02P 25/18; B60K 6/26; B60K 6/48; B63H 21/14; B63H 21/20; B63H 23/10; H02K 3/28</t>
  </si>
  <si>
    <t>IN355932699</t>
  </si>
  <si>
    <t>202221013223</t>
  </si>
  <si>
    <t>A POWER PACK WITH AN INTEGRATED ACTIVE THERMAL MANAGEMENT SYSTEM FOR AN ELECTRIC VEHICLE</t>
  </si>
  <si>
    <t>IN380605394</t>
  </si>
  <si>
    <t>202221044122</t>
  </si>
  <si>
    <t>METHOD AND SYSTEM FOR DEVELOPING ALTERNATES FOR DESIGN OF ELECTRONIC ASSEMBLY</t>
  </si>
  <si>
    <t>B25J /; G10L /; G09B /; C23C /; B60W /</t>
  </si>
  <si>
    <t>IN414853670</t>
  </si>
  <si>
    <t>202221038184</t>
  </si>
  <si>
    <t>02.07.2022</t>
  </si>
  <si>
    <t>CELL ARRAY FOR BATTERY PACK</t>
  </si>
  <si>
    <t>H01M /; H01M /; H01M /; H01G /; C25C /</t>
  </si>
  <si>
    <t>IN453983122</t>
  </si>
  <si>
    <t>202421021148</t>
  </si>
  <si>
    <t>CURRENT INSULATION DETECTION METHOD AND SYSTEM</t>
  </si>
  <si>
    <t>G01R /; H04L /; G01R /; H02J /; H04L /</t>
  </si>
  <si>
    <t>IN453984073</t>
  </si>
  <si>
    <t>202421024545</t>
  </si>
  <si>
    <t>SYSTEM TO MITIGATE MANIPULATIONS IN AN ONBOARD NETWORK OF A VEHICLE</t>
  </si>
  <si>
    <t>G06F 21/55; H04L 67/12</t>
  </si>
  <si>
    <t>WO2023170650</t>
  </si>
  <si>
    <t>PCT/IB2023/052318</t>
  </si>
  <si>
    <t>WO/2023/170650</t>
  </si>
  <si>
    <t>POWER TRANSMISSION SYSTEM INCLUDING GEAR-BOX FOR ELECTRIC VEHICLES</t>
  </si>
  <si>
    <t>B60K 1/00; B60K 17/00</t>
  </si>
  <si>
    <t>IN414842688</t>
  </si>
  <si>
    <t>202221055799</t>
  </si>
  <si>
    <t>SYSTEM AND METHOD FOR WAKE UP OF ELECTRIC VEHICLE FROM SLEEP MODE</t>
  </si>
  <si>
    <t>H02J /; H04W /; B60L /; H01M /; B60L /</t>
  </si>
  <si>
    <t>IN383836414</t>
  </si>
  <si>
    <t>202221036922</t>
  </si>
  <si>
    <t>28.06.2022</t>
  </si>
  <si>
    <t>G01R /; H01P /; B60L /; G01R /; B60L /</t>
  </si>
  <si>
    <t>IN414857203</t>
  </si>
  <si>
    <t>202221041424</t>
  </si>
  <si>
    <t>WOUND CORE TOOTH FOR YOKELESS AXIAL FLUX MOTOR</t>
  </si>
  <si>
    <t>H02K /; H02K /; H02K /; B65D /; H01F /</t>
  </si>
  <si>
    <t>IN453983120</t>
  </si>
  <si>
    <t>202421021043</t>
  </si>
  <si>
    <t>THEFT PROTECTION SYSTEM FOR AN ELECTRIC VEHICLE</t>
  </si>
  <si>
    <t>B60R 25/045; B60L 3/00; B60L 15/20; B60L 50/60; B60L 53/14; B60L 53/65; B60L 53/66; B60R 25/102</t>
  </si>
  <si>
    <t>IN453983587</t>
  </si>
  <si>
    <t>202421022017</t>
  </si>
  <si>
    <t>METHOD FOR MONITORING INSULATION STATE OF INVERTER DRIVEN MOTOR</t>
  </si>
  <si>
    <t>G01R 31/12; G01R 31/14; G01R 31/34</t>
  </si>
  <si>
    <t>IN453984070</t>
  </si>
  <si>
    <t>202421024542</t>
  </si>
  <si>
    <t>METHOD AND SYSTEM FOR LOCATING LOST KEY OF VEHICLE</t>
  </si>
  <si>
    <t>H04W /; G08B /; G08G /; G01S /; B60Q /</t>
  </si>
  <si>
    <t>WO2023131831</t>
  </si>
  <si>
    <t>PCT/IB2022/061178</t>
  </si>
  <si>
    <t>19.11.2022</t>
  </si>
  <si>
    <t>WO/2023/131831</t>
  </si>
  <si>
    <t>H02K 9/04</t>
  </si>
  <si>
    <t>IN451736765</t>
  </si>
  <si>
    <t>202421002029</t>
  </si>
  <si>
    <t>A CHARGING GUN DOCKING MECHANISM</t>
  </si>
  <si>
    <t>B60L 53/16; H01R 13/62; H02J 7/00; B60L 53/30</t>
  </si>
  <si>
    <t>IN453983121</t>
  </si>
  <si>
    <t>202421021045</t>
  </si>
  <si>
    <t>METHOD FOR INSULATION DETECTION IN ELECTRIC VEHICLE(S)</t>
  </si>
  <si>
    <t>B60L 58/18; G01R 27/02</t>
  </si>
  <si>
    <t>WO2023170651</t>
  </si>
  <si>
    <t>PCT/IB2023/052321</t>
  </si>
  <si>
    <t>WO/2023/170651</t>
  </si>
  <si>
    <t>POWER TRANSMISSION LUBRICATION SYSTEM FOR ELECTRIC VEHICLES</t>
  </si>
  <si>
    <t>B60K 17/00</t>
  </si>
  <si>
    <t>IN376951463</t>
  </si>
  <si>
    <t>202221055802</t>
  </si>
  <si>
    <t>SELF-START OFF METHOD AND SYSTEM FOR END-OF-LINE TESTING OF VEHICLES</t>
  </si>
  <si>
    <t>G07C /; H04L /; H04L /; H04L /; G06Q /</t>
  </si>
  <si>
    <t>IN391018362</t>
  </si>
  <si>
    <t>202221013208</t>
  </si>
  <si>
    <t>F16C /; F16H /; F02C /; B60W /; F16H /</t>
  </si>
  <si>
    <t>IN414857721</t>
  </si>
  <si>
    <t>202221056422</t>
  </si>
  <si>
    <t>SEGMENTED ELECTRIC MOTOR</t>
  </si>
  <si>
    <t>WO2023170465</t>
  </si>
  <si>
    <t>PCT/IB2022/061181</t>
  </si>
  <si>
    <t>WO/2023/170465</t>
  </si>
  <si>
    <t>B60L 15/20; B60L 58/10; H01M 50/284; H01M 10/48; H01M 50/20</t>
  </si>
  <si>
    <t>IN414853671</t>
  </si>
  <si>
    <t>202221040546</t>
  </si>
  <si>
    <t>11.08.2023</t>
  </si>
  <si>
    <t>WOUND CORE ASSEMBLY FOR PERMANENT MAGNET SYNCHRONOUS RELUCTANCE MOTOR</t>
  </si>
  <si>
    <t>WO2023170464</t>
  </si>
  <si>
    <t>PCT/IB2022/061177</t>
  </si>
  <si>
    <t>WO/2023/170464</t>
  </si>
  <si>
    <t>B62K 19/00; B60K 1/00; B60K 7/00; B62K 11/02</t>
  </si>
  <si>
    <t>IN414849174</t>
  </si>
  <si>
    <t>202221049854</t>
  </si>
  <si>
    <t>FOUR AIR-GAP MOTOR</t>
  </si>
  <si>
    <t>A61P /; A61P /; C07K /; A61P /; A61P /</t>
  </si>
  <si>
    <t>WO2023170466</t>
  </si>
  <si>
    <t>PCT/IB2022/061187</t>
  </si>
  <si>
    <t>WO/2023/170466</t>
  </si>
  <si>
    <t>B60L 58/24; H01M 10/60; H01M 10/04; B60L 58/26; H01M 10/613; H01M 10/655; H01M 10/6556</t>
  </si>
  <si>
    <t>IN453984075</t>
  </si>
  <si>
    <t>202421024549</t>
  </si>
  <si>
    <t>SYSTEM TO AUDIT AND UPDATE AT LEAST ONE ELECTRONIC CONTROL UNIT OF A VEHICLE</t>
  </si>
  <si>
    <t>G06F /; G06F /; G06F /; G06F /; G06F /</t>
  </si>
  <si>
    <t>IN453984078</t>
  </si>
  <si>
    <t>202421026805</t>
  </si>
  <si>
    <t>POSITIONING SYSTEM TO DETECT AND RECOVER SPOOFING OF GLOBAL NAVIGATION SATELLITE SIGNALS</t>
  </si>
  <si>
    <t>G01S /; H04W /; G01S /; G01S /; G01S /</t>
  </si>
  <si>
    <t>IN389964570</t>
  </si>
  <si>
    <t>202221013210</t>
  </si>
  <si>
    <t>C22C /; B60L /; B60N /; C22C /; F16H /</t>
  </si>
  <si>
    <t>IN414850697</t>
  </si>
  <si>
    <t>202221040547</t>
  </si>
  <si>
    <t>PERMANENT MAGNET SYNCHRONOUS RELUCTANCE MOTOR FOR ELECTRIC VEHICLE</t>
  </si>
  <si>
    <t>IN453983589</t>
  </si>
  <si>
    <t>202421026806</t>
  </si>
  <si>
    <t>SYSTEM TO ENABLE SECURE COMMUNICATION BETWEEN A COMPUTING DEVICE AND A VEHICLE</t>
  </si>
  <si>
    <t>H04L 9/32; H04L 9/08; H04L 29/06; H04W 12/06</t>
  </si>
  <si>
    <t>IN383836417</t>
  </si>
  <si>
    <t>202221053289</t>
  </si>
  <si>
    <t>18.09.2022</t>
  </si>
  <si>
    <t>COOLING PLATE FOR ENERGY STORAGE SYSTEM</t>
  </si>
  <si>
    <t>H01M /; H01M /; H01M /; H05K /; H01M /</t>
  </si>
  <si>
    <t>IN414860697</t>
  </si>
  <si>
    <t>202221056419</t>
  </si>
  <si>
    <t>SURFACE PERMANENT MAGNET MOTOR</t>
  </si>
  <si>
    <t>H02K /; H02K /; H01F /; H02K /; H02K /</t>
  </si>
  <si>
    <t>IN453983115</t>
  </si>
  <si>
    <t>202421020625</t>
  </si>
  <si>
    <t>POWERTRAIN FOR ELECTRIC VEHICLE</t>
  </si>
  <si>
    <t>F16H 59/14; F16H 61/02</t>
  </si>
  <si>
    <t>IN453983114</t>
  </si>
  <si>
    <t>202421020619</t>
  </si>
  <si>
    <t>B60K 1/00; H02K 7/10; B60K 17/02; H02K 7/00</t>
  </si>
  <si>
    <t>16_Ecozen_Solutions_raw.xls</t>
  </si>
  <si>
    <t>IN324122547</t>
  </si>
  <si>
    <t>201921045548</t>
  </si>
  <si>
    <t>08.11.2019</t>
  </si>
  <si>
    <t>14.05.2021</t>
  </si>
  <si>
    <t>SYSTEM AND METHOD TO MEASURE ENERGY LEVEL OF A PHASE CHANGE MATERIAL</t>
  </si>
  <si>
    <t>F28D /; G01N /; A01N /; B64D /; F28D /</t>
  </si>
  <si>
    <t>ECOZEN SOLUTIONS PRIVATE LIMITED</t>
  </si>
  <si>
    <t>19.10.2026 07:19:44</t>
  </si>
  <si>
    <t>17_smartron_India_raw.xls</t>
  </si>
  <si>
    <t>WO2018047203</t>
  </si>
  <si>
    <t>PCT/IN2017/050391</t>
  </si>
  <si>
    <t>09.09.2017</t>
  </si>
  <si>
    <t>WO/2018/047203</t>
  </si>
  <si>
    <t>15.03.2018</t>
  </si>
  <si>
    <t>A SYSTEM AND A METHOD FOR LOCKING A LOST PORTABLE COMMUNICATION DEVICE</t>
  </si>
  <si>
    <t>H04W 12/08; H04M 1/66</t>
  </si>
  <si>
    <t>SMARTRON INDIA PRIVATE LIMITED</t>
  </si>
  <si>
    <t>19.10.2026 07:22:23</t>
  </si>
  <si>
    <t>IN211828566</t>
  </si>
  <si>
    <t>4772/CHE/2015</t>
  </si>
  <si>
    <t>09.12.2015</t>
  </si>
  <si>
    <t>A SYSTEM AND METHOD FOR AUTOMATICALLY CAPTURING SELF-IMAGES OR SELFIES IN A MOBILE DEVICE</t>
  </si>
  <si>
    <t>H04N 5/00</t>
  </si>
  <si>
    <t>WO2017098524</t>
  </si>
  <si>
    <t>PCT/IN2016/000285</t>
  </si>
  <si>
    <t>08.12.2016</t>
  </si>
  <si>
    <t>WO/2017/098524</t>
  </si>
  <si>
    <t>15.06.2017</t>
  </si>
  <si>
    <t>H04N 5/232; H04N 5/228</t>
  </si>
  <si>
    <t>IN211835581</t>
  </si>
  <si>
    <t>4776/CHE/2015</t>
  </si>
  <si>
    <t>A SYSTEM AND METHOD FOR AUTOMATICALLY CONTROLLING AUDIO LEVELS IN MOBILE DEVICES</t>
  </si>
  <si>
    <t>H03G 3/00</t>
  </si>
  <si>
    <t>WO2017098523</t>
  </si>
  <si>
    <t>PCT/IN2016/000284</t>
  </si>
  <si>
    <t>WO/2017/098523</t>
  </si>
  <si>
    <t>H03G 5/00</t>
  </si>
  <si>
    <t>WO2018051368</t>
  </si>
  <si>
    <t>PCT/IN2017/050401</t>
  </si>
  <si>
    <t>WO/2018/051368</t>
  </si>
  <si>
    <t>22.03.2018</t>
  </si>
  <si>
    <t>A SYSTEM AND METHOD FOR DETECTING POSTURE AND MEASURING PHYSIOLOGICAL CONDITIONS</t>
  </si>
  <si>
    <t>A61B 5/04; A61B 5/11; A61N 1/365</t>
  </si>
  <si>
    <t>WO2019026086</t>
  </si>
  <si>
    <t>PCT/IN2018/050499</t>
  </si>
  <si>
    <t>30.07.2018</t>
  </si>
  <si>
    <t>WO/2019/026086</t>
  </si>
  <si>
    <t>07.02.2019</t>
  </si>
  <si>
    <t>A SYSTEM AND METHOD FOR DYNAMICALLY UPDATING PERSONAL IDENTITY INFORMATION</t>
  </si>
  <si>
    <t>G06Q 10/06</t>
  </si>
  <si>
    <t>US233552330</t>
  </si>
  <si>
    <t>15529856</t>
  </si>
  <si>
    <t>27.11.2015</t>
  </si>
  <si>
    <t>20180336841</t>
  </si>
  <si>
    <t>22.11.2018</t>
  </si>
  <si>
    <t>A SMART DRIVE DEVICE</t>
  </si>
  <si>
    <t>G09G 3/34; H01L 33/00</t>
  </si>
  <si>
    <t>IN211736241</t>
  </si>
  <si>
    <t>4199/CHE/2014</t>
  </si>
  <si>
    <t>28.11.2014</t>
  </si>
  <si>
    <t>26.08.2016</t>
  </si>
  <si>
    <t>HAND HELD SMART DRIVE SYSTEM FOR MULTIPLE COMPUTING DEVICES AND DISPLAYS</t>
  </si>
  <si>
    <t>G06F /</t>
  </si>
  <si>
    <t>WO2016084101</t>
  </si>
  <si>
    <t>PCT/IN2015/000438</t>
  </si>
  <si>
    <t>WO/2016/084101</t>
  </si>
  <si>
    <t>02.06.2016</t>
  </si>
  <si>
    <t>G06F 13/00</t>
  </si>
  <si>
    <t>IN211825427</t>
  </si>
  <si>
    <t>5063/CHE/2015</t>
  </si>
  <si>
    <t>22.12.2015</t>
  </si>
  <si>
    <t>SYSTEM AND METHOD FOR AUTHENTICATING WITH USER SPECIFIED GRID AND CAPTURING AND COMPARING THE PATTERN START AND END INCLUDING REPEATS</t>
  </si>
  <si>
    <t>G06F 21/00</t>
  </si>
  <si>
    <t>IN224134197</t>
  </si>
  <si>
    <t>201847025907</t>
  </si>
  <si>
    <t>11.07.2018</t>
  </si>
  <si>
    <t>20.07.2018</t>
  </si>
  <si>
    <t>G06F 21/31G</t>
  </si>
  <si>
    <t>US235907861</t>
  </si>
  <si>
    <t>16065806</t>
  </si>
  <si>
    <t>21.12.2016</t>
  </si>
  <si>
    <t>20190012074</t>
  </si>
  <si>
    <t>10.01.2019</t>
  </si>
  <si>
    <t>G06F 3/0488; G06F 21/84; G06F 3/0482</t>
  </si>
  <si>
    <t>WO2017109792</t>
  </si>
  <si>
    <t>PCT/IN2016/000293</t>
  </si>
  <si>
    <t>WO/2017/109792</t>
  </si>
  <si>
    <t>29.06.2017</t>
  </si>
  <si>
    <t>G06F 21/31; G06F 21/36; G06F 3/048</t>
  </si>
  <si>
    <t>IN211829578</t>
  </si>
  <si>
    <t>5064/CHE/2015</t>
  </si>
  <si>
    <t>22.09.2015</t>
  </si>
  <si>
    <t>SYSTEM AND METHOD FOR SWITCHING COMMUNICATION PROTOCOL BETWEEN DRIVE AND DISPLAY DEVICES</t>
  </si>
  <si>
    <t>H04N 21/00</t>
  </si>
  <si>
    <t>US231211364</t>
  </si>
  <si>
    <t>15761949</t>
  </si>
  <si>
    <t>20180278728</t>
  </si>
  <si>
    <t>27.09.2018</t>
  </si>
  <si>
    <t>SYSTEM AND METHOD FOR SWITCHING COMMUNICATION PROTOCOL BETWEEN TWO DEVICES</t>
  </si>
  <si>
    <t>H04L 29/06</t>
  </si>
  <si>
    <t>WO2018047202</t>
  </si>
  <si>
    <t>PCT/IN2017/050390</t>
  </si>
  <si>
    <t>WO/2018/047202</t>
  </si>
  <si>
    <t>A WEARABLE VIRTUAL REALITY DEVICE WITH WIRELESS DISPLAY</t>
  </si>
  <si>
    <t>G06F 3/01; G02B 27/01; G06T 19/00</t>
  </si>
  <si>
    <t>WO2017051429</t>
  </si>
  <si>
    <t>PCT/IN2016/000230</t>
  </si>
  <si>
    <t>WO/2017/051429</t>
  </si>
  <si>
    <t>30.03.2017</t>
  </si>
  <si>
    <t>H04W 4/00; H04N 21/00</t>
  </si>
  <si>
    <t>IN211829567</t>
  </si>
  <si>
    <t>4773/CHE/2015</t>
  </si>
  <si>
    <t>A SYSTEM AND METHOD FOR DETECTING KEYSTROKES IN A PASSIVE KEYBOARD IN MOBILE DEVICES</t>
  </si>
  <si>
    <t>G06F 3/00</t>
  </si>
  <si>
    <t>IN224134597</t>
  </si>
  <si>
    <t>201847025598</t>
  </si>
  <si>
    <t>G06F 3/048</t>
  </si>
  <si>
    <t>US235210963</t>
  </si>
  <si>
    <t>16061096</t>
  </si>
  <si>
    <t>20180364907</t>
  </si>
  <si>
    <t>20.12.2018</t>
  </si>
  <si>
    <t>G06F 3/0488; G06F 3/043</t>
  </si>
  <si>
    <t>IN297814666</t>
  </si>
  <si>
    <t>201841044726</t>
  </si>
  <si>
    <t>A SYSTEM AND METHOD FOR MANAGING LED NOTIFICATION LIGHTS/ALERTS IN SMART DEVICES</t>
  </si>
  <si>
    <t>G08B /; F04B /; F02N /; G09G /; G08B /</t>
  </si>
  <si>
    <t>WO2017098526</t>
  </si>
  <si>
    <t>PCT/IN2016/000287</t>
  </si>
  <si>
    <t>WO/2017/098526</t>
  </si>
  <si>
    <t>G06F 3/048; G06F 3/043</t>
  </si>
  <si>
    <t>IN211830575</t>
  </si>
  <si>
    <t>4768/CHE/2015</t>
  </si>
  <si>
    <t>A SYSTEM AND METHOD FOR CONTROLLING MIRACAST CONTENT WITH HAND GESTURES AND AUDIO COMMANDS</t>
  </si>
  <si>
    <t>IN223807044</t>
  </si>
  <si>
    <t>201847025605</t>
  </si>
  <si>
    <t>13.07.2018</t>
  </si>
  <si>
    <t>H04W 4/00G</t>
  </si>
  <si>
    <t>US235213889</t>
  </si>
  <si>
    <t>16061152</t>
  </si>
  <si>
    <t>20180367836</t>
  </si>
  <si>
    <t>H04N 21/422; G06F 3/01; H04N 21/4223; H04N 21/4363</t>
  </si>
  <si>
    <t>WO2017098525</t>
  </si>
  <si>
    <t>PCT/IN2016/000286</t>
  </si>
  <si>
    <t>WO/2017/098525</t>
  </si>
  <si>
    <t>H04W 4/00; G06F 3/00</t>
  </si>
  <si>
    <t>WO2018055644</t>
  </si>
  <si>
    <t>PCT/IN2017/050422</t>
  </si>
  <si>
    <t>23.09.2017</t>
  </si>
  <si>
    <t>WO/2018/055644</t>
  </si>
  <si>
    <t>A SYSTEM AND METHOD FOR MONITORING AND AUTOMATIC BOOKING OF LIQUEFIED PETROLEUM GAS (LPG) CYLINDERS</t>
  </si>
  <si>
    <t>G06Q 50/06; H04Q 9/00; F17C 13/02</t>
  </si>
  <si>
    <t>18_CarbonClean_Solutions_raw.xls</t>
  </si>
  <si>
    <t>WO2025022111</t>
  </si>
  <si>
    <t>PCT/GB2024/051933</t>
  </si>
  <si>
    <t>23.07.2024</t>
  </si>
  <si>
    <t>WO/2025/022111</t>
  </si>
  <si>
    <t>A METHOD AND SYSTEM FOR THE REMOVAL OF CARBON DIOXIDE FROM CARBON CAPTURE SOLVENTS USING COMPRESSED SOLVENT VAPOUR</t>
  </si>
  <si>
    <t>B01D 53/14; C10L 3/10; F23J 15/00</t>
  </si>
  <si>
    <t>CARBON CLEAN SOLUTIONS LIMITED</t>
  </si>
  <si>
    <t>19.10.2026 07:25:40</t>
  </si>
  <si>
    <t>EP480750637</t>
  </si>
  <si>
    <t>24751792</t>
  </si>
  <si>
    <t>4750558</t>
  </si>
  <si>
    <t>03.06.2026</t>
  </si>
  <si>
    <t>CARBON CLEAN SOLUTIONS LTD</t>
  </si>
  <si>
    <t>EP199602191</t>
  </si>
  <si>
    <t>15794968</t>
  </si>
  <si>
    <t>21.08.2015</t>
  </si>
  <si>
    <t>3183050</t>
  </si>
  <si>
    <t>28.06.2017</t>
  </si>
  <si>
    <t>CARBON CAPTURE SOLVENTS HAVING ALCOHOLS AND AMINES AND METHODS FOR USING SUCH SOLVENTS</t>
  </si>
  <si>
    <t>B01D 53/14</t>
  </si>
  <si>
    <t>US204148602</t>
  </si>
  <si>
    <t>15505863</t>
  </si>
  <si>
    <t>20170274317</t>
  </si>
  <si>
    <t>28.09.2017</t>
  </si>
  <si>
    <t>Carbon capture solvents having alcohols and amines and methods for using such solvents</t>
  </si>
  <si>
    <t>B01D 53/62; B01D 53/14; B01D 53/78</t>
  </si>
  <si>
    <t>Carbon Clean Solutions Limited</t>
  </si>
  <si>
    <t>IN211803184</t>
  </si>
  <si>
    <t>201737006551</t>
  </si>
  <si>
    <t>23.02.2017</t>
  </si>
  <si>
    <t>19.05.2017</t>
  </si>
  <si>
    <t>BR217839031</t>
  </si>
  <si>
    <t>112017003655</t>
  </si>
  <si>
    <t>05.12.2017</t>
  </si>
  <si>
    <t>solventes de captura de carbono tendo álcoois e aminas e métodos para usar esses solventes</t>
  </si>
  <si>
    <t>B01D 53</t>
  </si>
  <si>
    <t>EP297641920</t>
  </si>
  <si>
    <t>20158217</t>
  </si>
  <si>
    <t>3673974</t>
  </si>
  <si>
    <t>01.07.2020</t>
  </si>
  <si>
    <t>ES310517057</t>
  </si>
  <si>
    <t>2791275</t>
  </si>
  <si>
    <t>03.11.2020</t>
  </si>
  <si>
    <t>Disolventes de captura de carbono con alcoholes y aminas, y métodos para el uso de tales disolventes</t>
  </si>
  <si>
    <t>US332609940</t>
  </si>
  <si>
    <t>17234595</t>
  </si>
  <si>
    <t>19.04.2021</t>
  </si>
  <si>
    <t>20210236984</t>
  </si>
  <si>
    <t>WO2016027164</t>
  </si>
  <si>
    <t>PCT/IB2015/001855</t>
  </si>
  <si>
    <t>WO/2016/027164</t>
  </si>
  <si>
    <t>25.02.2016</t>
  </si>
  <si>
    <t>CA203507060</t>
  </si>
  <si>
    <t>2959016</t>
  </si>
  <si>
    <t>CA</t>
  </si>
  <si>
    <t>B01D 53/14; B01D 53/62; B01F 21/00</t>
  </si>
  <si>
    <t>EP90320818</t>
  </si>
  <si>
    <t>11776875</t>
  </si>
  <si>
    <t>16.09.2011</t>
  </si>
  <si>
    <t>2618914</t>
  </si>
  <si>
    <t>31.07.2013</t>
  </si>
  <si>
    <t>SOLVENT COMPOSITION FOR CARBON DIOXIDE RECOVERY</t>
  </si>
  <si>
    <t>US323749610</t>
  </si>
  <si>
    <t>17255751</t>
  </si>
  <si>
    <t>24.06.2019</t>
  </si>
  <si>
    <t>20210138391</t>
  </si>
  <si>
    <t>13.05.2021</t>
  </si>
  <si>
    <t>Method and a system for the removal of carbon dioxide from solvents</t>
  </si>
  <si>
    <t>B01D 47/00; B01D 53/14; B01D 53/62; B01D 53/78</t>
  </si>
  <si>
    <t>DK342285342</t>
  </si>
  <si>
    <t>15.11.2021</t>
  </si>
  <si>
    <t>DK</t>
  </si>
  <si>
    <t>OPLØSNINGSMIDDELSAMMENSÆTNING TIL INDVINDING AF CARBONDIOXID</t>
  </si>
  <si>
    <t>EP323757819</t>
  </si>
  <si>
    <t>19734863</t>
  </si>
  <si>
    <t>3817839</t>
  </si>
  <si>
    <t>12.05.2021</t>
  </si>
  <si>
    <t>A METHOD AND A SYSTEM FOR THE REMOVAL OF CARBON DIOXIDE FROM SOLVENTS</t>
  </si>
  <si>
    <t>B01D 53/14; B01D 53/62; B01D 53/78</t>
  </si>
  <si>
    <t>PT344973581</t>
  </si>
  <si>
    <t>117768754</t>
  </si>
  <si>
    <t>PT</t>
  </si>
  <si>
    <t>ES351945234</t>
  </si>
  <si>
    <t>2896399</t>
  </si>
  <si>
    <t>24.02.2022</t>
  </si>
  <si>
    <t>Composición de disolvente para la recuperación de dióxido de carbono</t>
  </si>
  <si>
    <t>WO2020008169</t>
  </si>
  <si>
    <t>PCT/GB2019/051773</t>
  </si>
  <si>
    <t>WO/2020/008169</t>
  </si>
  <si>
    <t>09.01.2020</t>
  </si>
  <si>
    <t>EP130720802</t>
  </si>
  <si>
    <t>13768779</t>
  </si>
  <si>
    <t>28.03.2013</t>
  </si>
  <si>
    <t>2830737</t>
  </si>
  <si>
    <t>04.02.2015</t>
  </si>
  <si>
    <t>CARBON CAPTURE SOLVENTS AND METHODS FOR USING SUCH SOLVENTS</t>
  </si>
  <si>
    <t>US456988758</t>
  </si>
  <si>
    <t>18730416</t>
  </si>
  <si>
    <t>20250170549</t>
  </si>
  <si>
    <t>29.05.2025</t>
  </si>
  <si>
    <t>PACKING FOR A ROTATING PACKED BED</t>
  </si>
  <si>
    <t>B01J 19/30; B01D 53/18</t>
  </si>
  <si>
    <t>WO2023139346</t>
  </si>
  <si>
    <t>PCT/GB2023/050042</t>
  </si>
  <si>
    <t>WO/2023/139346</t>
  </si>
  <si>
    <t>27.07.2023</t>
  </si>
  <si>
    <t>B01J 19/32; B01J 8/10; B01J 19/18</t>
  </si>
  <si>
    <t>EP443356664</t>
  </si>
  <si>
    <t>23701588</t>
  </si>
  <si>
    <t>4466095</t>
  </si>
  <si>
    <t>27.11.2024</t>
  </si>
  <si>
    <t>CA449865546</t>
  </si>
  <si>
    <t>3246640</t>
  </si>
  <si>
    <t>B01J 8/10; B01J 19/18; B01J 19/32</t>
  </si>
  <si>
    <t>CA487391860</t>
  </si>
  <si>
    <t>3324401</t>
  </si>
  <si>
    <t>PACKING ASSEMBLY, ROTATING PACKED BED, AND METHOD OF USE</t>
  </si>
  <si>
    <t>B01D 3/30; B01D 53/06; B01D 53/14; B01D 53/18; B01J 19/30; B01J 19/32</t>
  </si>
  <si>
    <t>WO2026132767</t>
  </si>
  <si>
    <t>PCT/GB2025/052676</t>
  </si>
  <si>
    <t>10.12.2025</t>
  </si>
  <si>
    <t>WO/2026/132767</t>
  </si>
  <si>
    <t>25.06.2026</t>
  </si>
  <si>
    <t>METHODS AND SYSTEMS FOR WASHING FLUE GAS</t>
  </si>
  <si>
    <t>B01D 53/14; B01D 53/18</t>
  </si>
  <si>
    <t>GB484659677</t>
  </si>
  <si>
    <t>202418425</t>
  </si>
  <si>
    <t>16.12.2024</t>
  </si>
  <si>
    <t>2703531</t>
  </si>
  <si>
    <t>05.08.2026</t>
  </si>
  <si>
    <t>Methods and systems for washing flue gas</t>
  </si>
  <si>
    <t>B01D 53/14; B01D 5/00; B01D 47/14; B01D 53/18</t>
  </si>
  <si>
    <t>WO2025196421</t>
  </si>
  <si>
    <t>PCT/GB2025/050559</t>
  </si>
  <si>
    <t>WO/2025/196421</t>
  </si>
  <si>
    <t>B01D 53/06; B01D 53/14; B01D 53/18; B01D 3/30; B01J 19/30; B01J 19/32</t>
  </si>
  <si>
    <t>US408982531</t>
  </si>
  <si>
    <t>18015175</t>
  </si>
  <si>
    <t>29.06.2021</t>
  </si>
  <si>
    <t>20230302398</t>
  </si>
  <si>
    <t>28.09.2023</t>
  </si>
  <si>
    <t>A METHOD AND SYSTEM FOR THE REMOVAL OF CARBON DIOXIDE FROM SOLVENTS USING LOW-GRADE HEAT</t>
  </si>
  <si>
    <t>B01D 53/14; B01D 53/96</t>
  </si>
  <si>
    <t>IN417756605</t>
  </si>
  <si>
    <t>202317001071</t>
  </si>
  <si>
    <t>WO2022008876</t>
  </si>
  <si>
    <t>PCT/GB2021/051641</t>
  </si>
  <si>
    <t>WO/2022/008876</t>
  </si>
  <si>
    <t>13.01.2022</t>
  </si>
  <si>
    <t>CA487391855</t>
  </si>
  <si>
    <t>3324391</t>
  </si>
  <si>
    <t>PACKING SUPPORT ARRANGEMENT, METHOD OF SETTING PACKINGS, KIT OF PARTS, AND METHOD OF USE</t>
  </si>
  <si>
    <t>EP398115104</t>
  </si>
  <si>
    <t>21739423</t>
  </si>
  <si>
    <t>4178710</t>
  </si>
  <si>
    <t>17.05.2023</t>
  </si>
  <si>
    <t>WO2025196422</t>
  </si>
  <si>
    <t>PCT/GB2025/050560</t>
  </si>
  <si>
    <t>WO/2025/196422</t>
  </si>
  <si>
    <t>B01J 19/30; B01J 19/32; B01D 3/30; B01D 53/06; B01D 53/14; B01D 53/18</t>
  </si>
  <si>
    <t>CA393084322</t>
  </si>
  <si>
    <t>3183960</t>
  </si>
  <si>
    <t>WO2024261494</t>
  </si>
  <si>
    <t>PCT/GB2024/051594</t>
  </si>
  <si>
    <t>21.06.2024</t>
  </si>
  <si>
    <t>WO/2024/261494</t>
  </si>
  <si>
    <t>26.12.2024</t>
  </si>
  <si>
    <t>BEARING ARRANGEMENT FOR A ROTATING PACKED BED</t>
  </si>
  <si>
    <t>F16C 17/00; F16C 19/00; F16C 27/00</t>
  </si>
  <si>
    <t>GB425314182</t>
  </si>
  <si>
    <t>202212984</t>
  </si>
  <si>
    <t>2622221</t>
  </si>
  <si>
    <t>13.03.2024</t>
  </si>
  <si>
    <t>An energy efficient method and system for the removal of impurities in a flue gas</t>
  </si>
  <si>
    <t>B01D 53/60; B01D 53/50; B01D 53/56</t>
  </si>
  <si>
    <t>WO2024052652</t>
  </si>
  <si>
    <t>PCT/GB2023/052276</t>
  </si>
  <si>
    <t>04.09.2023</t>
  </si>
  <si>
    <t>WO/2024/052652</t>
  </si>
  <si>
    <t>14.03.2024</t>
  </si>
  <si>
    <t>METHOD AND SYSTEM FOR THE REMOVAL OF IMPURITIES IN A FLUE GAS</t>
  </si>
  <si>
    <t>B01D 53/26; B01D 53/50; B01D 53/14; B01D 61/02; B01D 53/22</t>
  </si>
  <si>
    <t>EP153679864</t>
  </si>
  <si>
    <t>14746742</t>
  </si>
  <si>
    <t>31.01.2014</t>
  </si>
  <si>
    <t>2950910</t>
  </si>
  <si>
    <t>B01D 53/14; B01D 53/40; C01B 32/50</t>
  </si>
  <si>
    <t>US279742228</t>
  </si>
  <si>
    <t>16450484</t>
  </si>
  <si>
    <t>20190388836</t>
  </si>
  <si>
    <t>26.12.2019</t>
  </si>
  <si>
    <t>System and process of capturing carbon dioxide from flue gases</t>
  </si>
  <si>
    <t>B01D 53/18; B01D 53/62; B01D 53/83</t>
  </si>
  <si>
    <t>MY315258464</t>
  </si>
  <si>
    <t>PI 2020006909</t>
  </si>
  <si>
    <t>SYSTEM AND PROCESS OF CAPTURING CARBON DIOXIDE FROM FLUE GASES</t>
  </si>
  <si>
    <t>BID 53/14; BID 53/18; BID 53/62; BID 53/78</t>
  </si>
  <si>
    <t>SG314044095</t>
  </si>
  <si>
    <t>11202011220P</t>
  </si>
  <si>
    <t>30.12.2020</t>
  </si>
  <si>
    <t>B01D 53/14; B01D 53/18; B01D 53/62; B01D 53/78</t>
  </si>
  <si>
    <t>BR321932763</t>
  </si>
  <si>
    <t>112020026582</t>
  </si>
  <si>
    <t>23.03.2021</t>
  </si>
  <si>
    <t>sistema e processo de captura de dióxido de carbono a partir de gases de combustão</t>
  </si>
  <si>
    <t>B01D 53; B01D 53; B01D 53; B01D 53</t>
  </si>
  <si>
    <t>IN321197849</t>
  </si>
  <si>
    <t>202117003093</t>
  </si>
  <si>
    <t>22.01.2021</t>
  </si>
  <si>
    <t>26.03.2021</t>
  </si>
  <si>
    <t>B01D /; B01D /; B01D /; B01D /; B01D /</t>
  </si>
  <si>
    <t>US339380297</t>
  </si>
  <si>
    <t>17254785</t>
  </si>
  <si>
    <t>20210322923</t>
  </si>
  <si>
    <t>21.10.2021</t>
  </si>
  <si>
    <t>B01D 53/62; B01D 53/18; B01D 53/83; B01D 53/14; B01D 53/78; B01D 53/96</t>
  </si>
  <si>
    <t>CA416376499</t>
  </si>
  <si>
    <t>3221236</t>
  </si>
  <si>
    <t>22.12.2022</t>
  </si>
  <si>
    <t>METHODS AND SYSTEMS FOR THE REMOVAL OF IMPURITIES IN A FLUE GAS</t>
  </si>
  <si>
    <t>B01D 53/14; B01D 53/60; B01D 53/62; B01D 53/75; B01D 53/78; F28C 1/00; F28D 7/00</t>
  </si>
  <si>
    <t>US411165954</t>
  </si>
  <si>
    <t>18339594</t>
  </si>
  <si>
    <t>20230330596</t>
  </si>
  <si>
    <t>B01D 53/62; B01D 53/14; B01D 53/18; B01D 53/78; B01D 53/83; B01D 53/96</t>
  </si>
  <si>
    <t>EP428023136</t>
  </si>
  <si>
    <t>22733717</t>
  </si>
  <si>
    <t>4355461</t>
  </si>
  <si>
    <t>B01D 53/60; B01D 53/14; B01D 53/62; B01D 53/75; B01D 53/78; F28C 1/00; F28D 7/00</t>
  </si>
  <si>
    <t>EP438550415</t>
  </si>
  <si>
    <t>24164162</t>
  </si>
  <si>
    <t>4427835</t>
  </si>
  <si>
    <t>11.09.2024</t>
  </si>
  <si>
    <t>US439052138</t>
  </si>
  <si>
    <t>18571136</t>
  </si>
  <si>
    <t>20240307813</t>
  </si>
  <si>
    <t>19.09.2024</t>
  </si>
  <si>
    <t>B01D 53/14; B01D 53/00; B01D 53/18; B01D 53/50; B01D 53/56; B01D 53/60; B01D 53/62; B01D 53/75; B01D 53/78</t>
  </si>
  <si>
    <t>US447184477</t>
  </si>
  <si>
    <t>18909788</t>
  </si>
  <si>
    <t>08.10.2024</t>
  </si>
  <si>
    <t>20250025831</t>
  </si>
  <si>
    <t>MY441523942</t>
  </si>
  <si>
    <t>PI 2024003897</t>
  </si>
  <si>
    <t>DK461610518</t>
  </si>
  <si>
    <t>CARBONOPSAMLINGSOPLØSNINGSMIDLER OG FREMGANGSMÅDER TIL ANVENDELSE AF SÅDANNE OPLØSNINGSMIDLER</t>
  </si>
  <si>
    <t>B01D 53/14; B01D 53/40</t>
  </si>
  <si>
    <t>ES454714553</t>
  </si>
  <si>
    <t>3014995</t>
  </si>
  <si>
    <t>28.04.2025</t>
  </si>
  <si>
    <t>CA457610357</t>
  </si>
  <si>
    <t>2022263799</t>
  </si>
  <si>
    <t>WO2022263799</t>
  </si>
  <si>
    <t>PCT/GB2022/051482</t>
  </si>
  <si>
    <t>WO/2022/263799</t>
  </si>
  <si>
    <t>B01D 53/60; B01D 53/14; B01D 53/62; B01D 53/75; B01D 53/78; F28D 7/00; F28C 1/00</t>
  </si>
  <si>
    <t>BR471073962</t>
  </si>
  <si>
    <t>BR122025023456</t>
  </si>
  <si>
    <t>PROCESSO E SISTEMA DE CAPTURA DE DIÓXIDO DE CARBONO</t>
  </si>
  <si>
    <t>BR471075103</t>
  </si>
  <si>
    <t>BR112020026582</t>
  </si>
  <si>
    <t>16.12.2025</t>
  </si>
  <si>
    <t>PROCESSO E SISTEMA DE CAPTURA DE DIÓXIDO DE CARBONO E ARRANJO DE ABSORVEDORES DE LEITO EMPACOTADO ROTATIVO</t>
  </si>
  <si>
    <t>WO2020002891</t>
  </si>
  <si>
    <t>PCT/GB2019/051772</t>
  </si>
  <si>
    <t>WO/2020/002891</t>
  </si>
  <si>
    <t>02.01.2020</t>
  </si>
  <si>
    <t>EP338568245</t>
  </si>
  <si>
    <t>21161213</t>
  </si>
  <si>
    <t>3888771</t>
  </si>
  <si>
    <t>EP323270308</t>
  </si>
  <si>
    <t>19734862</t>
  </si>
  <si>
    <t>3813982</t>
  </si>
  <si>
    <t>05.05.2021</t>
  </si>
  <si>
    <t>FI451047323</t>
  </si>
  <si>
    <t>EP14746742.7</t>
  </si>
  <si>
    <t>EP2950910</t>
  </si>
  <si>
    <t>FI</t>
  </si>
  <si>
    <t>CA311110774</t>
  </si>
  <si>
    <t>3098141</t>
  </si>
  <si>
    <t>AU311611230</t>
  </si>
  <si>
    <t>2019295363</t>
  </si>
  <si>
    <t>AU459654269</t>
  </si>
  <si>
    <t>2025205214</t>
  </si>
  <si>
    <t>08.07.2025</t>
  </si>
  <si>
    <t>WO2025196423</t>
  </si>
  <si>
    <t>PCT/GB2025/050561</t>
  </si>
  <si>
    <t>WO/2025/196423</t>
  </si>
  <si>
    <t>PACKING SUPPORT ARRANGEMENT</t>
  </si>
  <si>
    <t>CA487391866</t>
  </si>
  <si>
    <t>3324411</t>
  </si>
  <si>
    <t>US487349729</t>
  </si>
  <si>
    <t>18998055</t>
  </si>
  <si>
    <t>20260284577</t>
  </si>
  <si>
    <t>24.09.2026</t>
  </si>
  <si>
    <t>A METHOD AND SYSTEM FOR THE REMOVAL OF CARBON DIOXIDE FROM CARBON CAPTURE SOLVENTS USING HEAT FROM A GAS</t>
  </si>
  <si>
    <t>B01D 53/14; B01D 19/00</t>
  </si>
  <si>
    <t>EP457240464</t>
  </si>
  <si>
    <t>23753941</t>
  </si>
  <si>
    <t>4561730</t>
  </si>
  <si>
    <t>04.06.2025</t>
  </si>
  <si>
    <t>B01D 51/10; B01D 53/14; B01D 53/18</t>
  </si>
  <si>
    <t>WO2024023509</t>
  </si>
  <si>
    <t>PCT/GB2023/051973</t>
  </si>
  <si>
    <t>WO/2024/023509</t>
  </si>
  <si>
    <t>CA453641711</t>
  </si>
  <si>
    <t>3261291</t>
  </si>
  <si>
    <t>EP206608729</t>
  </si>
  <si>
    <t>16713571</t>
  </si>
  <si>
    <t>22.01.2016</t>
  </si>
  <si>
    <t>3247484</t>
  </si>
  <si>
    <t>29.11.2017</t>
  </si>
  <si>
    <t>SOLVENT AND METHOD FOR REMOVING ACID GASES FROM A GASEOUS MIXTURE</t>
  </si>
  <si>
    <t>B01D 53/14; C10L 3/10</t>
  </si>
  <si>
    <t>US209520798</t>
  </si>
  <si>
    <t>15545642</t>
  </si>
  <si>
    <t>20180001255</t>
  </si>
  <si>
    <t>04.01.2018</t>
  </si>
  <si>
    <t>Solvent and method for removing acid gases from a gaseous mixture</t>
  </si>
  <si>
    <t>IN321197848</t>
  </si>
  <si>
    <t>202117003090</t>
  </si>
  <si>
    <t>SOLVENT AND PROCESS FOR REMOVING CARBON DIOXIDE FROM A GASEOUS MIXTURE HAVING HIGH CARBON DIOXIDE PARTIAL PRESSURES</t>
  </si>
  <si>
    <t>B01D /; B01D /; B01J /; C10L /; B01J /</t>
  </si>
  <si>
    <t>EP323270312</t>
  </si>
  <si>
    <t>19736786</t>
  </si>
  <si>
    <t>3813985</t>
  </si>
  <si>
    <t>B01D 53/52; B01D 53/14; B01D 53/62</t>
  </si>
  <si>
    <t>US338557103</t>
  </si>
  <si>
    <t>17255403</t>
  </si>
  <si>
    <t>20210308619</t>
  </si>
  <si>
    <t>Solvent and process for removing carbon dioxide from a gaseous mixture having high carbon dioxide partial pressures</t>
  </si>
  <si>
    <t>DK418477586</t>
  </si>
  <si>
    <t>02.01.2024</t>
  </si>
  <si>
    <t>OPLØSNINGSMIDDEL OG FREMGANGSMÅDE TIL FJERNELSE AF SURE GASSER FRA GASBLANDING</t>
  </si>
  <si>
    <t>ES427378109</t>
  </si>
  <si>
    <t>2965427</t>
  </si>
  <si>
    <t>15.04.2024</t>
  </si>
  <si>
    <t>Disolvente y método para eliminar gases ácidos de una mezcla gaseosa</t>
  </si>
  <si>
    <t>WO2016116815</t>
  </si>
  <si>
    <t>PCT/IB2016/000112</t>
  </si>
  <si>
    <t>WO/2016/116815</t>
  </si>
  <si>
    <t>28.07.2016</t>
  </si>
  <si>
    <t>CA207896417</t>
  </si>
  <si>
    <t>2985846</t>
  </si>
  <si>
    <t>B01D 53/14; B01D 53/52; B01D 53/62; C10L 3/10</t>
  </si>
  <si>
    <t>WO2020002892</t>
  </si>
  <si>
    <t>PCT/GB2019/051774</t>
  </si>
  <si>
    <t>WO/2020/002892</t>
  </si>
  <si>
    <t>B01D 53/52; B01D 53/62; B01D 53/14</t>
  </si>
  <si>
    <t>AU311611231</t>
  </si>
  <si>
    <t>2019295364</t>
  </si>
  <si>
    <t>CA311110776</t>
  </si>
  <si>
    <t>3098143</t>
  </si>
  <si>
    <t>B01D 53/14; B01D 53/52; B01D 53/62</t>
  </si>
  <si>
    <t>CA94883117</t>
  </si>
  <si>
    <t>2820678</t>
  </si>
  <si>
    <t>29.03.2012</t>
  </si>
  <si>
    <t>CARBON CLEAN SOLUTIONS PVT. LTD.</t>
  </si>
  <si>
    <t>PH203076405</t>
  </si>
  <si>
    <t>1/2013/500528</t>
  </si>
  <si>
    <t>10.06.2013</t>
  </si>
  <si>
    <t>AU194317120</t>
  </si>
  <si>
    <t>2011306506</t>
  </si>
  <si>
    <t>11.04.2013</t>
  </si>
  <si>
    <t>Solvent composition for carbon dioxide recovery</t>
  </si>
  <si>
    <t>US131341171</t>
  </si>
  <si>
    <t>14388532</t>
  </si>
  <si>
    <t>20150071840</t>
  </si>
  <si>
    <t>12.03.2015</t>
  </si>
  <si>
    <t>B01D 53/96; B01D 53/62; B01D 53/14</t>
  </si>
  <si>
    <t>Carbon Clean Solutions Pvt. Ltd.</t>
  </si>
  <si>
    <t>IN211729881</t>
  </si>
  <si>
    <t>201647002710</t>
  </si>
  <si>
    <t>25.01.2016</t>
  </si>
  <si>
    <t>31.08.2016</t>
  </si>
  <si>
    <t>SPLIT LINE SYSTEM,  METHOD AND PROCESS FOR CO2  RECOVERY</t>
  </si>
  <si>
    <t>B01D 53/62; B01D 53/14; B01D 53/18</t>
  </si>
  <si>
    <t>CARBON CLEAN SOLUTIONS PVT. LTD</t>
  </si>
  <si>
    <t>US82150069</t>
  </si>
  <si>
    <t>13820995</t>
  </si>
  <si>
    <t>20130164204</t>
  </si>
  <si>
    <t>27.06.2013</t>
  </si>
  <si>
    <t>C09K 3/00</t>
  </si>
  <si>
    <t>Bumb Prateek; Carbon Clean Solutions Pvt. Ltd.</t>
  </si>
  <si>
    <t>Bumb Prateek</t>
  </si>
  <si>
    <t>WO2013144730</t>
  </si>
  <si>
    <t>PCT/IB2013/001357</t>
  </si>
  <si>
    <t>WO/2013/144730</t>
  </si>
  <si>
    <t>03.10.2013</t>
  </si>
  <si>
    <t>CARBON CLEAN SOLUTIONS PVT. LTD.,; BUMB, Ptateek</t>
  </si>
  <si>
    <t>CARBON CLEAN SOLUTIONS PVT. LTD.,</t>
  </si>
  <si>
    <t>BUMB, Ptateek</t>
  </si>
  <si>
    <t>US174149756</t>
  </si>
  <si>
    <t>14907477</t>
  </si>
  <si>
    <t>23.07.2014</t>
  </si>
  <si>
    <t>20160166976</t>
  </si>
  <si>
    <t>16.06.2016</t>
  </si>
  <si>
    <t>SPLIT LINE SYSTEM, METHOD AND PROCESS FOR CO2 RECOVERY</t>
  </si>
  <si>
    <t>Bumb Prateek; CARBON CLEAN SOLUTIONS PVT. LTD</t>
  </si>
  <si>
    <t>EP173912204</t>
  </si>
  <si>
    <t>14829718</t>
  </si>
  <si>
    <t>3024563</t>
  </si>
  <si>
    <t>01.06.2016</t>
  </si>
  <si>
    <t>B01D 53/62; B01D 53/14; B01D 53/18; B01D 53/74; B01D 53/75; B01D 53/77; B01D 53/78; C01B 32/50; C07D 241/00; C07D 295/12; C07D 295/13</t>
  </si>
  <si>
    <t>CARBON CLEAN SOLUTIONS PVT LTD; BUMB PRATEEK</t>
  </si>
  <si>
    <t>CARBON CLEAN SOLUTIONS PVT LTD</t>
  </si>
  <si>
    <t>BUMB PRATEEK</t>
  </si>
  <si>
    <t>WO2015011566</t>
  </si>
  <si>
    <t>PCT/IB2014/002368</t>
  </si>
  <si>
    <t>WO/2015/011566</t>
  </si>
  <si>
    <t>29.01.2015</t>
  </si>
  <si>
    <t>B01D 53/62; B01D 53/14; B01D 53/18; B01D 53/74; B01D 53/75; B01D 53/77; B01D 53/78; C01B 31/20; C07D 241/00; C07D 295/13; C07D 295/12</t>
  </si>
  <si>
    <t>CARBON CLEAN SOLUTIONS PVT. LTD; BUMB, Prateek</t>
  </si>
  <si>
    <t>BUMB, Prateek</t>
  </si>
  <si>
    <t>GC421373045</t>
  </si>
  <si>
    <t>201529920</t>
  </si>
  <si>
    <t>20.08.2015</t>
  </si>
  <si>
    <t>28.02.2019</t>
  </si>
  <si>
    <t>GC</t>
  </si>
  <si>
    <t>B01D 53/14; B01 53/62; B01 53/96</t>
  </si>
  <si>
    <t>كاربون كلين سوليوشنز ليمتد; Carbon Clean Solutions Limited</t>
  </si>
  <si>
    <t>كاربون كلين سوليوشنز ليمتد</t>
  </si>
  <si>
    <t>JP362289659</t>
  </si>
  <si>
    <t>2020186743</t>
  </si>
  <si>
    <t>09.11.2020</t>
  </si>
  <si>
    <t>2022076367</t>
  </si>
  <si>
    <t>19.05.2022</t>
  </si>
  <si>
    <t>JP</t>
  </si>
  <si>
    <t>CARBON RECOVERY SOLVENT WITH ALCOHOL AND AMINE AND USING METHOD OF THE SOLVENT</t>
  </si>
  <si>
    <t>B01D 53/62; B01D 53/14; B01D 53/78; C01B 32/50</t>
  </si>
  <si>
    <r>
      <rPr>
        <sz val="10"/>
        <rFont val="Arial"/>
        <charset val="1"/>
      </rPr>
      <t xml:space="preserve">CARBON CLEAN SOLUTIONS LTD; </t>
    </r>
    <r>
      <rPr>
        <sz val="10"/>
        <rFont val="Noto Sans CJK SC"/>
        <family val="2"/>
      </rPr>
      <t>カーボン　クリーン　ソリューションズ　リミテッド</t>
    </r>
  </si>
  <si>
    <t>カーボン　クリーン　ソリューションズ　リミテッド</t>
  </si>
  <si>
    <t>JP426010262</t>
  </si>
  <si>
    <t>2023222556</t>
  </si>
  <si>
    <t>2024036338</t>
  </si>
  <si>
    <t>15.03.2024</t>
  </si>
  <si>
    <t>RECOVERY SYSTEM OF CARBON DIOXIDE FROM FLUE GAS AND METHOD THEREOF</t>
  </si>
  <si>
    <t>B01D 53/78; B01D 53/62; B01D 53/96; B01D 53/14; B01D 53/18; C01B 32/50</t>
  </si>
  <si>
    <t>JP471024469</t>
  </si>
  <si>
    <t>2025165409</t>
  </si>
  <si>
    <t>2025185030</t>
  </si>
  <si>
    <t>US174813112</t>
  </si>
  <si>
    <t>14765935</t>
  </si>
  <si>
    <t>20160193563</t>
  </si>
  <si>
    <t>07.07.2016</t>
  </si>
  <si>
    <t>Carbon capture solvents and methods for using such solvents</t>
  </si>
  <si>
    <t>CARBON CLEAN SOLUTIONS PVT, LTD; Prateek Bumb; Ramesh Kumar Ausula; Aniruddha Sharma</t>
  </si>
  <si>
    <t>CARBON CLEAN SOLUTIONS PVT, LTD</t>
  </si>
  <si>
    <t>Prateek Bumb; Ramesh Kumar Ausula; Aniruddha Sharma</t>
  </si>
  <si>
    <t>WO2014118633</t>
  </si>
  <si>
    <t>PCT/IB2014/000419</t>
  </si>
  <si>
    <t>WO/2014/118633</t>
  </si>
  <si>
    <t>07.08.2014</t>
  </si>
  <si>
    <t>B01D 53/14; B01D 53/40; C01B 31/20</t>
  </si>
  <si>
    <t>CARBON CLEAN SOLUTIONS PVT, LTD; BUMB, Prateek; AUSULA, Ramesh, Kumar; SHARMA, Aniruddha</t>
  </si>
  <si>
    <t>BUMB, Prateek; AUSULA, Ramesh, Kumar; SHARMA, Aniruddha</t>
  </si>
  <si>
    <t>CN204763001</t>
  </si>
  <si>
    <t>201580053524.X</t>
  </si>
  <si>
    <t>107106967</t>
  </si>
  <si>
    <t>29.08.2017</t>
  </si>
  <si>
    <t>CN</t>
  </si>
  <si>
    <r>
      <rPr>
        <sz val="10"/>
        <rFont val="Arial"/>
        <charset val="1"/>
      </rPr>
      <t xml:space="preserve">CARBON CLEAN SOLUTIONS LTD.; </t>
    </r>
    <r>
      <rPr>
        <sz val="10"/>
        <rFont val="Noto Sans CJK SC"/>
        <family val="2"/>
      </rPr>
      <t>碳清洁解决方案有限公司</t>
    </r>
  </si>
  <si>
    <t>CARBON CLEAN SOLUTIONS LTD.</t>
  </si>
  <si>
    <t>碳清洁解决方案有限公司</t>
  </si>
  <si>
    <t>CN393836479</t>
  </si>
  <si>
    <t>202180047922.6</t>
  </si>
  <si>
    <t>115768544</t>
  </si>
  <si>
    <t>Method and system for removing carbon dioxide from solvent with low grade heat</t>
  </si>
  <si>
    <t>CN318125455</t>
  </si>
  <si>
    <t>201980038482.0</t>
  </si>
  <si>
    <t>112351829</t>
  </si>
  <si>
    <t>09.02.2021</t>
  </si>
  <si>
    <r>
      <rPr>
        <sz val="10"/>
        <rFont val="Arial"/>
        <charset val="1"/>
      </rPr>
      <t xml:space="preserve">CARBON CLEAN SOLUTIONS LIMITED; </t>
    </r>
    <r>
      <rPr>
        <sz val="10"/>
        <rFont val="Noto Sans CJK SC"/>
        <family val="2"/>
      </rPr>
      <t>碳清洁解决方案有限公司</t>
    </r>
  </si>
  <si>
    <t>CN405756406</t>
  </si>
  <si>
    <t>202310666791.0</t>
  </si>
  <si>
    <t>116550101</t>
  </si>
  <si>
    <t>System and method for capturing carbon dioxide from flue gas</t>
  </si>
  <si>
    <t>B01D 53/14; B01D 53/78; B01D 53/62; B01D 53/73</t>
  </si>
  <si>
    <r>
      <rPr>
        <sz val="10"/>
        <rFont val="Arial"/>
        <charset val="1"/>
      </rPr>
      <t xml:space="preserve">CARBON CLEAN SOLUTIONS LTD; </t>
    </r>
    <r>
      <rPr>
        <sz val="10"/>
        <rFont val="Noto Sans CJK SC"/>
        <family val="2"/>
      </rPr>
      <t>碳清洁解决方案有限公司</t>
    </r>
  </si>
  <si>
    <t>CN318125423</t>
  </si>
  <si>
    <t>201980035481.0</t>
  </si>
  <si>
    <t>112351831</t>
  </si>
  <si>
    <t>WO2026054066</t>
  </si>
  <si>
    <t>PCT/JP2025/031517</t>
  </si>
  <si>
    <t>05.09.2025</t>
  </si>
  <si>
    <t>WO/2026/054066</t>
  </si>
  <si>
    <t>12.03.2026</t>
  </si>
  <si>
    <t>CARBON DIOXIDE ABSORPTION LIQUID, AND CARBON DIOXIDE SEPARATION AND RECOVERY METHOD</t>
  </si>
  <si>
    <t>B01D 53/14; B01D 53/52; B01D 53/62; B01D 53/78; B01D 53/96; C01B 32/50</t>
  </si>
  <si>
    <r>
      <rPr>
        <sz val="10"/>
        <rFont val="Arial"/>
        <charset val="1"/>
      </rPr>
      <t xml:space="preserve">ARTIENCE CO., LTD.; </t>
    </r>
    <r>
      <rPr>
        <sz val="10"/>
        <rFont val="Noto Sans CJK SC"/>
        <family val="2"/>
      </rPr>
      <t>ａｒｔｉｅｎｃｅ株式会社</t>
    </r>
    <r>
      <rPr>
        <sz val="10"/>
        <rFont val="Arial"/>
        <charset val="1"/>
      </rPr>
      <t xml:space="preserve">; TOYOCOLOR CO., LTD.; </t>
    </r>
    <r>
      <rPr>
        <sz val="10"/>
        <rFont val="Noto Sans CJK SC"/>
        <family val="2"/>
      </rPr>
      <t>トーヨーカラー株式会社</t>
    </r>
    <r>
      <rPr>
        <sz val="10"/>
        <rFont val="Arial"/>
        <charset val="1"/>
      </rPr>
      <t xml:space="preserve">; CARBON CLEAN SOLUTIONS LIMITED; </t>
    </r>
    <r>
      <rPr>
        <sz val="10"/>
        <rFont val="Noto Sans CJK SC"/>
        <family val="2"/>
      </rPr>
      <t>カーボン　クリーン　ソリューションズ　リミテッド</t>
    </r>
  </si>
  <si>
    <r>
      <rPr>
        <sz val="10"/>
        <rFont val="Arial"/>
        <charset val="1"/>
      </rPr>
      <t xml:space="preserve">ARTIENCE CO., LTD.; </t>
    </r>
    <r>
      <rPr>
        <sz val="10"/>
        <rFont val="Noto Sans CJK SC"/>
        <family val="2"/>
      </rPr>
      <t>ａｒｔｉｅｎｃｅ株式会社</t>
    </r>
    <r>
      <rPr>
        <sz val="10"/>
        <rFont val="Arial"/>
        <charset val="1"/>
      </rPr>
      <t xml:space="preserve">; TOYOCOLOR CO., LTD.; </t>
    </r>
    <r>
      <rPr>
        <sz val="10"/>
        <rFont val="Noto Sans CJK SC"/>
        <family val="2"/>
      </rPr>
      <t>トーヨーカラー株式会社</t>
    </r>
    <r>
      <rPr>
        <sz val="10"/>
        <rFont val="Arial"/>
        <charset val="1"/>
      </rPr>
      <t xml:space="preserve">; </t>
    </r>
    <r>
      <rPr>
        <sz val="10"/>
        <rFont val="Noto Sans CJK SC"/>
        <family val="2"/>
      </rPr>
      <t>カーボン　クリーン　ソリューションズ　リミテッド</t>
    </r>
  </si>
  <si>
    <t>19_Chakr_Innovation_raw.xls</t>
  </si>
  <si>
    <t>IN342791097</t>
  </si>
  <si>
    <t>202011020231</t>
  </si>
  <si>
    <t>13.05.2020</t>
  </si>
  <si>
    <t>19.11.2021</t>
  </si>
  <si>
    <t>A DECONTAMINATION APPARATUS</t>
  </si>
  <si>
    <t>A61Q /; A61M /; G06F /; H04L /; G08B /</t>
  </si>
  <si>
    <t>CHAKR INNOVATION PRIVATE LIMITED</t>
  </si>
  <si>
    <t>19.10.2026 07:31:06</t>
  </si>
  <si>
    <t>WO2022149168</t>
  </si>
  <si>
    <t>PCT/IN2022/050019</t>
  </si>
  <si>
    <t>08.01.2022</t>
  </si>
  <si>
    <t>WO/2022/149168</t>
  </si>
  <si>
    <t>14.07.2022</t>
  </si>
  <si>
    <t>PARTICULATE MATTER FILTER ASSEMBLY</t>
  </si>
  <si>
    <t>F01N 3/021</t>
  </si>
  <si>
    <t>IN335044342</t>
  </si>
  <si>
    <t>202011002272</t>
  </si>
  <si>
    <t>18.01.2020</t>
  </si>
  <si>
    <t>27.08.2021</t>
  </si>
  <si>
    <t>INTEGRATED SAFETY UNIT</t>
  </si>
  <si>
    <t>B25C /; F23N /; E04G /; A62B /; B60R /</t>
  </si>
  <si>
    <t>IN453982962</t>
  </si>
  <si>
    <t>202311066227</t>
  </si>
  <si>
    <t>03.10.2023</t>
  </si>
  <si>
    <t>A CELL FOR A METAL AIR BATTERY AND THE METAL AIR BATERY THEREOF</t>
  </si>
  <si>
    <t>H01 M12/08; H01M 4/38; H01M 8/042; H01M 8/066; H01M 10/42; H01M 50/77</t>
  </si>
  <si>
    <t>WO2023131972</t>
  </si>
  <si>
    <t>PCT/IN2023/050010</t>
  </si>
  <si>
    <t>04.01.2023</t>
  </si>
  <si>
    <t>WO/2023/131972</t>
  </si>
  <si>
    <t>CATALYST COATED CURRENT COLLECTOR FOR A METAL-AIR BATTERY, AND A METAL-AIR BATTERY COMPRISING THE SAME</t>
  </si>
  <si>
    <t>B01J 23/00; H01M 12/00; H01M 4/00</t>
  </si>
  <si>
    <t>WO2022168116</t>
  </si>
  <si>
    <t>PCT/IN2022/050086</t>
  </si>
  <si>
    <t>01.02.2022</t>
  </si>
  <si>
    <t>WO/2022/168116</t>
  </si>
  <si>
    <t>11.08.2022</t>
  </si>
  <si>
    <t>SYSTEM AND METHOD FOR MICROWAVE BASED INTERMITTENT REGENERATION FOR PARTICULATE FILTER(S) OF DIESEL ENGINE</t>
  </si>
  <si>
    <t>F01N 3/028</t>
  </si>
  <si>
    <t>IN360723320</t>
  </si>
  <si>
    <t>202111000930</t>
  </si>
  <si>
    <t>08.01.2021</t>
  </si>
  <si>
    <t>F01N /; B01J /; C04B /; B29C /; F01N /</t>
  </si>
  <si>
    <t>WO2023131971</t>
  </si>
  <si>
    <t>PCT/IN2023/050009</t>
  </si>
  <si>
    <t>WO/2023/131971</t>
  </si>
  <si>
    <t>ELECTROLYTE FOR A METAL-AIR BATTERY, AND A METAL-AIR BATTERY COMPRISING THE SAME</t>
  </si>
  <si>
    <t>H01M 4/12; H01M 12/06</t>
  </si>
  <si>
    <t>IN335043902</t>
  </si>
  <si>
    <t>202011002492</t>
  </si>
  <si>
    <t>20.01.2020</t>
  </si>
  <si>
    <t>NON-RETURN VALVE FOR LOW PRESSURE AND HIGH TEMPERATURE GASES</t>
  </si>
  <si>
    <t>F16K /; F16K /; A61M /; F23L /; C25B /</t>
  </si>
  <si>
    <t>WO2025032605</t>
  </si>
  <si>
    <t>PCT/IN2024/051440</t>
  </si>
  <si>
    <t>WO/2025/032605</t>
  </si>
  <si>
    <t>A DEVICE FOR MIXING AND DELIVERING A PRIMARY FLUID AND A SECONDARY FLUID</t>
  </si>
  <si>
    <t>B01F 23/21; B01F 25/314; B01F 25/433; B01F 25/313; B01F 101/00</t>
  </si>
  <si>
    <t>IN361381098</t>
  </si>
  <si>
    <t>202021048865</t>
  </si>
  <si>
    <t>13.05.2022</t>
  </si>
  <si>
    <t>SYSTEM TO CONTROL ACIDITY OF A SCRUBBING SOLUTION IN A WET SCRUBBER</t>
  </si>
  <si>
    <t>B01D /; G01N /; B08B /; C02F /; H01M /</t>
  </si>
  <si>
    <t>CHAKR INNOVATION PRIVATE LIMITED; INDIAN OIL CORPORATION LIMITED</t>
  </si>
  <si>
    <t>INDIAN OIL CORPORATION LIMITED</t>
  </si>
  <si>
    <t>IN361381097</t>
  </si>
  <si>
    <t>202021048860</t>
  </si>
  <si>
    <t>SYSTEM FOR HEAT PIPE-BASED HEAT EXCHANGER</t>
  </si>
  <si>
    <t>F28D /; F28D /; B08B /; H01M /; F24T /</t>
  </si>
  <si>
    <t>IN335400410</t>
  </si>
  <si>
    <t>201911014141</t>
  </si>
  <si>
    <t>08.10.2019</t>
  </si>
  <si>
    <t>03.09.2021</t>
  </si>
  <si>
    <t>APPARATUS FOR FLUE GAS TREATMENT AND METHOD TO OPERATE THE SAME</t>
  </si>
  <si>
    <t>F23J /; B01D /; B01D /; F23J /; B01D /</t>
  </si>
  <si>
    <t>India Oil Corporation Limited; Chakr Innovation Pvt. Ltd.</t>
  </si>
  <si>
    <t>Chakr Innovation Pvt. Ltd.</t>
  </si>
  <si>
    <t>India Oil Corporation Limited</t>
  </si>
  <si>
    <t>Searched for</t>
  </si>
  <si>
    <t>Best similarity</t>
  </si>
  <si>
    <t>Reason</t>
  </si>
  <si>
    <t>CN203423306</t>
  </si>
  <si>
    <t>107022889</t>
  </si>
  <si>
    <t>08.08.2017</t>
  </si>
  <si>
    <t>Double-channel cyclic heating system of clothing care machine</t>
  </si>
  <si>
    <t>NANTONG OLA ELECTRIC APPLIANCE CO., LTD.</t>
  </si>
  <si>
    <t>applicant name does not match the startup's registered name</t>
  </si>
  <si>
    <t>CN203436952</t>
  </si>
  <si>
    <t>107034650</t>
  </si>
  <si>
    <t>11.08.2017</t>
  </si>
  <si>
    <t>Dry cleaning leveling structure of clothes nursing machine</t>
  </si>
  <si>
    <t>Registered-name alias searched/matched</t>
  </si>
  <si>
    <t>Normalised form</t>
  </si>
  <si>
    <t>Ola Electric Mobility</t>
  </si>
  <si>
    <t>ola electric mobility</t>
  </si>
  <si>
    <t>ather energy</t>
  </si>
  <si>
    <t>River Mobility</t>
  </si>
  <si>
    <t>river mobility</t>
  </si>
  <si>
    <t>sun mobility</t>
  </si>
  <si>
    <t>ultraviolette automotive</t>
  </si>
  <si>
    <t>Matter Motor Works</t>
  </si>
  <si>
    <t>matter motor works</t>
  </si>
  <si>
    <t>ecozen solutions</t>
  </si>
  <si>
    <t>Smartron India</t>
  </si>
  <si>
    <t>smartron india</t>
  </si>
  <si>
    <t>carbon clean solutions</t>
  </si>
  <si>
    <t>chakr innovation</t>
  </si>
  <si>
    <t>File</t>
  </si>
  <si>
    <t>Query in file</t>
  </si>
  <si>
    <t>Rows in file</t>
  </si>
  <si>
    <t>Matched</t>
  </si>
  <si>
    <t>Rejected</t>
  </si>
  <si>
    <t>Duplicate publication numbers</t>
  </si>
  <si>
    <t>Rows in file = Matched + Rejected for every file. Compare 'Rows in file' with the count in WIPO_Search_Log.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</si>
</sst>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164" fontId="3" fillId="0" borderId="1" xfId="0" applyNumberFormat="1" applyFont="1" applyBorder="1"/>
    <xf numFmtId="0" fontId="3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4" sqref="B24"/>
    </sheetView>
  </sheetViews>
  <sheetFormatPr defaultColWidth="8.6640625" defaultRowHeight="14.4"/>
  <cols>
    <col min="1" max="1" width="8" customWidth="1"/>
    <col min="2" max="2" width="24" customWidth="1"/>
    <col min="3" max="3" width="20" customWidth="1"/>
    <col min="4" max="4" width="8" customWidth="1"/>
    <col min="5" max="5" width="22" customWidth="1"/>
    <col min="6" max="6" width="12" customWidth="1"/>
    <col min="7" max="7" width="10" customWidth="1"/>
    <col min="8" max="8" width="30" customWidth="1"/>
    <col min="9" max="9" width="12" customWidth="1"/>
    <col min="10" max="10" width="11" customWidth="1"/>
    <col min="11" max="11" width="12" customWidth="1"/>
    <col min="12" max="12" width="14" customWidth="1"/>
    <col min="13" max="13" width="12" customWidth="1"/>
    <col min="14" max="18" width="10" customWidth="1"/>
    <col min="19" max="19" width="60" customWidth="1"/>
  </cols>
  <sheetData>
    <row r="1" spans="1:19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</v>
      </c>
      <c r="B2" s="2" t="s">
        <v>19</v>
      </c>
      <c r="C2" s="2" t="s">
        <v>20</v>
      </c>
      <c r="D2" s="2">
        <v>2017</v>
      </c>
      <c r="E2" s="2" t="s">
        <v>21</v>
      </c>
      <c r="F2" s="3">
        <v>1500</v>
      </c>
      <c r="G2" s="4">
        <v>8996</v>
      </c>
      <c r="H2" s="2" t="s">
        <v>22</v>
      </c>
      <c r="I2" s="4">
        <v>271</v>
      </c>
      <c r="J2" s="4">
        <v>271</v>
      </c>
      <c r="K2" s="2">
        <f>COUNTIF(Patents_Merged!$A$2:$A$731,B2)</f>
        <v>269</v>
      </c>
      <c r="L2" s="2">
        <f t="shared" ref="L2:L21" si="0">J2-K2</f>
        <v>2</v>
      </c>
      <c r="M2" s="5">
        <f>IFERROR(SUMPRODUCT((Patents_Merged!$A$2:$A$731=B2)/COUNTIFS(Patents_Merged!$A$2:$A$731,Patents_Merged!$A$2:$A$731,Patents_Merged!$G$2:$G$731,Patents_Merged!$G$2:$G$731)),0)</f>
        <v>269</v>
      </c>
      <c r="N2" s="2">
        <f>IF(K2=0,"",9999-SUMPRODUCT(MAX((Patents_Merged!$A$2:$A$731=B2)*(9999-Patents_Merged!$I$2:$I$731))))</f>
        <v>2021</v>
      </c>
      <c r="O2" s="2">
        <f>IF(K2=0,"",SUMPRODUCT(MAX((Patents_Merged!$A$2:$A$731=B2)*Patents_Merged!$I$2:$I$731)))</f>
        <v>2026</v>
      </c>
      <c r="P2" s="2">
        <f>COUNTIFS(Patents_Merged!$A$2:$A$731,B2,Patents_Merged!$J$2:$J$731,"IN")</f>
        <v>123</v>
      </c>
      <c r="Q2" s="2">
        <f>COUNTIFS(Patents_Merged!$A$2:$A$731,B2,Patents_Merged!$J$2:$J$731,"WO")</f>
        <v>116</v>
      </c>
      <c r="R2" s="2">
        <f t="shared" ref="R2:R21" si="1">K2-P2-Q2</f>
        <v>30</v>
      </c>
      <c r="S2" s="6" t="s">
        <v>23</v>
      </c>
    </row>
    <row r="3" spans="1:19" ht="26.4">
      <c r="A3" s="2">
        <v>2</v>
      </c>
      <c r="B3" s="2" t="s">
        <v>24</v>
      </c>
      <c r="C3" s="2" t="s">
        <v>25</v>
      </c>
      <c r="D3" s="2">
        <v>2003</v>
      </c>
      <c r="E3" s="2" t="s">
        <v>26</v>
      </c>
      <c r="F3" s="3">
        <v>1250</v>
      </c>
      <c r="G3" s="4">
        <v>3158</v>
      </c>
      <c r="H3" s="2" t="s">
        <v>27</v>
      </c>
      <c r="I3" s="4">
        <v>0</v>
      </c>
      <c r="J3" s="4">
        <v>0</v>
      </c>
      <c r="K3" s="2">
        <f>COUNTIF(Patents_Merged!$A$2:$A$731,B3)</f>
        <v>0</v>
      </c>
      <c r="L3" s="2">
        <f t="shared" si="0"/>
        <v>0</v>
      </c>
      <c r="M3" s="5">
        <f>IFERROR(SUMPRODUCT((Patents_Merged!$A$2:$A$731=B3)/COUNTIFS(Patents_Merged!$A$2:$A$731,Patents_Merged!$A$2:$A$731,Patents_Merged!$G$2:$G$731,Patents_Merged!$G$2:$G$731)),0)</f>
        <v>0</v>
      </c>
      <c r="N3" s="2" t="str">
        <f>IF(K3=0,"",9999-SUMPRODUCT(MAX((Patents_Merged!$A$2:$A$731=B3)*(9999-Patents_Merged!$I$2:$I$731))))</f>
        <v/>
      </c>
      <c r="O3" s="2" t="str">
        <f>IF(K3=0,"",SUMPRODUCT(MAX((Patents_Merged!$A$2:$A$731=B3)*Patents_Merged!$I$2:$I$731)))</f>
        <v/>
      </c>
      <c r="P3" s="2">
        <f>COUNTIFS(Patents_Merged!$A$2:$A$731,B3,Patents_Merged!$J$2:$J$731,"IN")</f>
        <v>0</v>
      </c>
      <c r="Q3" s="2">
        <f>COUNTIFS(Patents_Merged!$A$2:$A$731,B3,Patents_Merged!$J$2:$J$731,"WO")</f>
        <v>0</v>
      </c>
      <c r="R3" s="2">
        <f t="shared" si="1"/>
        <v>0</v>
      </c>
      <c r="S3" s="6" t="s">
        <v>28</v>
      </c>
    </row>
    <row r="4" spans="1:19">
      <c r="A4" s="2">
        <v>3</v>
      </c>
      <c r="B4" s="2" t="s">
        <v>29</v>
      </c>
      <c r="C4" s="2" t="s">
        <v>20</v>
      </c>
      <c r="D4" s="2">
        <v>2013</v>
      </c>
      <c r="E4" s="2" t="s">
        <v>21</v>
      </c>
      <c r="F4" s="3">
        <v>574.27</v>
      </c>
      <c r="G4" s="4">
        <v>4544</v>
      </c>
      <c r="H4" s="2" t="s">
        <v>30</v>
      </c>
      <c r="I4" s="4">
        <v>100</v>
      </c>
      <c r="J4" s="4">
        <v>100</v>
      </c>
      <c r="K4" s="2">
        <f>COUNTIF(Patents_Merged!$A$2:$A$731,B4)</f>
        <v>100</v>
      </c>
      <c r="L4" s="2">
        <f t="shared" si="0"/>
        <v>0</v>
      </c>
      <c r="M4" s="5">
        <f>IFERROR(SUMPRODUCT((Patents_Merged!$A$2:$A$731=B4)/COUNTIFS(Patents_Merged!$A$2:$A$731,Patents_Merged!$A$2:$A$731,Patents_Merged!$G$2:$G$731,Patents_Merged!$G$2:$G$731)),0)</f>
        <v>100</v>
      </c>
      <c r="N4" s="2">
        <f>IF(K4=0,"",9999-SUMPRODUCT(MAX((Patents_Merged!$A$2:$A$731=B4)*(9999-Patents_Merged!$I$2:$I$731))))</f>
        <v>2017</v>
      </c>
      <c r="O4" s="2">
        <f>IF(K4=0,"",SUMPRODUCT(MAX((Patents_Merged!$A$2:$A$731=B4)*Patents_Merged!$I$2:$I$731)))</f>
        <v>2026</v>
      </c>
      <c r="P4" s="2">
        <f>COUNTIFS(Patents_Merged!$A$2:$A$731,B4,Patents_Merged!$J$2:$J$731,"IN")</f>
        <v>56</v>
      </c>
      <c r="Q4" s="2">
        <f>COUNTIFS(Patents_Merged!$A$2:$A$731,B4,Patents_Merged!$J$2:$J$731,"WO")</f>
        <v>37</v>
      </c>
      <c r="R4" s="2">
        <f t="shared" si="1"/>
        <v>7</v>
      </c>
      <c r="S4" s="6" t="s">
        <v>23</v>
      </c>
    </row>
    <row r="5" spans="1:19">
      <c r="A5" s="2">
        <v>4</v>
      </c>
      <c r="B5" s="2" t="s">
        <v>31</v>
      </c>
      <c r="C5" s="2" t="s">
        <v>20</v>
      </c>
      <c r="D5" s="2">
        <v>2018</v>
      </c>
      <c r="E5" s="2" t="s">
        <v>32</v>
      </c>
      <c r="F5" s="3">
        <v>376.94</v>
      </c>
      <c r="G5" s="4">
        <v>1588</v>
      </c>
      <c r="H5" s="2" t="s">
        <v>33</v>
      </c>
      <c r="I5" s="4">
        <v>0</v>
      </c>
      <c r="J5" s="4">
        <v>0</v>
      </c>
      <c r="K5" s="2">
        <f>COUNTIF(Patents_Merged!$A$2:$A$731,B5)</f>
        <v>0</v>
      </c>
      <c r="L5" s="2">
        <f t="shared" si="0"/>
        <v>0</v>
      </c>
      <c r="M5" s="5">
        <f>IFERROR(SUMPRODUCT((Patents_Merged!$A$2:$A$731=B5)/COUNTIFS(Patents_Merged!$A$2:$A$731,Patents_Merged!$A$2:$A$731,Patents_Merged!$G$2:$G$731,Patents_Merged!$G$2:$G$731)),0)</f>
        <v>0</v>
      </c>
      <c r="N5" s="2" t="str">
        <f>IF(K5=0,"",9999-SUMPRODUCT(MAX((Patents_Merged!$A$2:$A$731=B5)*(9999-Patents_Merged!$I$2:$I$731))))</f>
        <v/>
      </c>
      <c r="O5" s="2" t="str">
        <f>IF(K5=0,"",SUMPRODUCT(MAX((Patents_Merged!$A$2:$A$731=B5)*Patents_Merged!$I$2:$I$731)))</f>
        <v/>
      </c>
      <c r="P5" s="2">
        <f>COUNTIFS(Patents_Merged!$A$2:$A$731,B5,Patents_Merged!$J$2:$J$731,"IN")</f>
        <v>0</v>
      </c>
      <c r="Q5" s="2">
        <f>COUNTIFS(Patents_Merged!$A$2:$A$731,B5,Patents_Merged!$J$2:$J$731,"WO")</f>
        <v>0</v>
      </c>
      <c r="R5" s="2">
        <f t="shared" si="1"/>
        <v>0</v>
      </c>
      <c r="S5" s="6" t="s">
        <v>34</v>
      </c>
    </row>
    <row r="6" spans="1:19" ht="26.4">
      <c r="A6" s="2">
        <v>5</v>
      </c>
      <c r="B6" s="2" t="s">
        <v>35</v>
      </c>
      <c r="C6" s="2" t="s">
        <v>20</v>
      </c>
      <c r="D6" s="2">
        <v>2019</v>
      </c>
      <c r="E6" s="2" t="s">
        <v>32</v>
      </c>
      <c r="F6" s="3">
        <v>228.09</v>
      </c>
      <c r="G6" s="4">
        <v>1155</v>
      </c>
      <c r="H6" s="2" t="s">
        <v>36</v>
      </c>
      <c r="I6" s="4">
        <v>0</v>
      </c>
      <c r="J6" s="4">
        <v>0</v>
      </c>
      <c r="K6" s="2">
        <f>COUNTIF(Patents_Merged!$A$2:$A$731,B6)</f>
        <v>0</v>
      </c>
      <c r="L6" s="2">
        <f t="shared" si="0"/>
        <v>0</v>
      </c>
      <c r="M6" s="5">
        <f>IFERROR(SUMPRODUCT((Patents_Merged!$A$2:$A$731=B6)/COUNTIFS(Patents_Merged!$A$2:$A$731,Patents_Merged!$A$2:$A$731,Patents_Merged!$G$2:$G$731,Patents_Merged!$G$2:$G$731)),0)</f>
        <v>0</v>
      </c>
      <c r="N6" s="2" t="str">
        <f>IF(K6=0,"",9999-SUMPRODUCT(MAX((Patents_Merged!$A$2:$A$731=B6)*(9999-Patents_Merged!$I$2:$I$731))))</f>
        <v/>
      </c>
      <c r="O6" s="2" t="str">
        <f>IF(K6=0,"",SUMPRODUCT(MAX((Patents_Merged!$A$2:$A$731=B6)*Patents_Merged!$I$2:$I$731)))</f>
        <v/>
      </c>
      <c r="P6" s="2">
        <f>COUNTIFS(Patents_Merged!$A$2:$A$731,B6,Patents_Merged!$J$2:$J$731,"IN")</f>
        <v>0</v>
      </c>
      <c r="Q6" s="2">
        <f>COUNTIFS(Patents_Merged!$A$2:$A$731,B6,Patents_Merged!$J$2:$J$731,"WO")</f>
        <v>0</v>
      </c>
      <c r="R6" s="2">
        <f t="shared" si="1"/>
        <v>0</v>
      </c>
      <c r="S6" s="6" t="s">
        <v>37</v>
      </c>
    </row>
    <row r="7" spans="1:19" ht="52.8">
      <c r="A7" s="2">
        <v>6</v>
      </c>
      <c r="B7" s="2" t="s">
        <v>38</v>
      </c>
      <c r="C7" s="2" t="s">
        <v>20</v>
      </c>
      <c r="D7" s="2">
        <v>2019</v>
      </c>
      <c r="E7" s="2" t="s">
        <v>21</v>
      </c>
      <c r="F7" s="3">
        <v>290.5</v>
      </c>
      <c r="G7" s="4">
        <v>673</v>
      </c>
      <c r="H7" s="2" t="s">
        <v>39</v>
      </c>
      <c r="I7" s="4">
        <v>0</v>
      </c>
      <c r="J7" s="4">
        <v>0</v>
      </c>
      <c r="K7" s="2">
        <f>COUNTIF(Patents_Merged!$A$2:$A$731,B7)</f>
        <v>0</v>
      </c>
      <c r="L7" s="2">
        <f t="shared" si="0"/>
        <v>0</v>
      </c>
      <c r="M7" s="5">
        <f>IFERROR(SUMPRODUCT((Patents_Merged!$A$2:$A$731=B7)/COUNTIFS(Patents_Merged!$A$2:$A$731,Patents_Merged!$A$2:$A$731,Patents_Merged!$G$2:$G$731,Patents_Merged!$G$2:$G$731)),0)</f>
        <v>0</v>
      </c>
      <c r="N7" s="2" t="str">
        <f>IF(K7=0,"",9999-SUMPRODUCT(MAX((Patents_Merged!$A$2:$A$731=B7)*(9999-Patents_Merged!$I$2:$I$731))))</f>
        <v/>
      </c>
      <c r="O7" s="2" t="str">
        <f>IF(K7=0,"",SUMPRODUCT(MAX((Patents_Merged!$A$2:$A$731=B7)*Patents_Merged!$I$2:$I$731)))</f>
        <v/>
      </c>
      <c r="P7" s="2">
        <f>COUNTIFS(Patents_Merged!$A$2:$A$731,B7,Patents_Merged!$J$2:$J$731,"IN")</f>
        <v>0</v>
      </c>
      <c r="Q7" s="2">
        <f>COUNTIFS(Patents_Merged!$A$2:$A$731,B7,Patents_Merged!$J$2:$J$731,"WO")</f>
        <v>0</v>
      </c>
      <c r="R7" s="2">
        <f t="shared" si="1"/>
        <v>0</v>
      </c>
      <c r="S7" s="6" t="s">
        <v>40</v>
      </c>
    </row>
    <row r="8" spans="1:19">
      <c r="A8" s="2">
        <v>7</v>
      </c>
      <c r="B8" s="2" t="s">
        <v>41</v>
      </c>
      <c r="C8" s="2" t="s">
        <v>20</v>
      </c>
      <c r="D8" s="2">
        <v>2020</v>
      </c>
      <c r="E8" s="2" t="s">
        <v>21</v>
      </c>
      <c r="F8" s="3">
        <v>188</v>
      </c>
      <c r="G8" s="4">
        <v>1174</v>
      </c>
      <c r="H8" s="2" t="s">
        <v>42</v>
      </c>
      <c r="I8" s="4">
        <v>20</v>
      </c>
      <c r="J8" s="4">
        <v>20</v>
      </c>
      <c r="K8" s="2">
        <f>COUNTIF(Patents_Merged!$A$2:$A$731,B8)</f>
        <v>20</v>
      </c>
      <c r="L8" s="2">
        <f t="shared" si="0"/>
        <v>0</v>
      </c>
      <c r="M8" s="5">
        <f>IFERROR(SUMPRODUCT((Patents_Merged!$A$2:$A$731=B8)/COUNTIFS(Patents_Merged!$A$2:$A$731,Patents_Merged!$A$2:$A$731,Patents_Merged!$G$2:$G$731,Patents_Merged!$G$2:$G$731)),0)</f>
        <v>20</v>
      </c>
      <c r="N8" s="2">
        <f>IF(K8=0,"",9999-SUMPRODUCT(MAX((Patents_Merged!$A$2:$A$731=B8)*(9999-Patents_Merged!$I$2:$I$731))))</f>
        <v>2022</v>
      </c>
      <c r="O8" s="2">
        <f>IF(K8=0,"",SUMPRODUCT(MAX((Patents_Merged!$A$2:$A$731=B8)*Patents_Merged!$I$2:$I$731)))</f>
        <v>2023</v>
      </c>
      <c r="P8" s="2">
        <f>COUNTIFS(Patents_Merged!$A$2:$A$731,B8,Patents_Merged!$J$2:$J$731,"IN")</f>
        <v>20</v>
      </c>
      <c r="Q8" s="2">
        <f>COUNTIFS(Patents_Merged!$A$2:$A$731,B8,Patents_Merged!$J$2:$J$731,"WO")</f>
        <v>0</v>
      </c>
      <c r="R8" s="2">
        <f t="shared" si="1"/>
        <v>0</v>
      </c>
      <c r="S8" s="6" t="s">
        <v>23</v>
      </c>
    </row>
    <row r="9" spans="1:19" ht="26.4">
      <c r="A9" s="2">
        <v>8</v>
      </c>
      <c r="B9" s="2" t="s">
        <v>43</v>
      </c>
      <c r="C9" s="2" t="s">
        <v>25</v>
      </c>
      <c r="D9" s="2">
        <v>2015</v>
      </c>
      <c r="E9" s="2" t="s">
        <v>44</v>
      </c>
      <c r="F9" s="3">
        <v>113.25</v>
      </c>
      <c r="G9" s="4">
        <v>2924</v>
      </c>
      <c r="H9" s="2" t="s">
        <v>45</v>
      </c>
      <c r="I9" s="4">
        <v>0</v>
      </c>
      <c r="J9" s="4">
        <v>0</v>
      </c>
      <c r="K9" s="2">
        <f>COUNTIF(Patents_Merged!$A$2:$A$731,B9)</f>
        <v>0</v>
      </c>
      <c r="L9" s="2">
        <f t="shared" si="0"/>
        <v>0</v>
      </c>
      <c r="M9" s="5">
        <f>IFERROR(SUMPRODUCT((Patents_Merged!$A$2:$A$731=B9)/COUNTIFS(Patents_Merged!$A$2:$A$731,Patents_Merged!$A$2:$A$731,Patents_Merged!$G$2:$G$731,Patents_Merged!$G$2:$G$731)),0)</f>
        <v>0</v>
      </c>
      <c r="N9" s="2" t="str">
        <f>IF(K9=0,"",9999-SUMPRODUCT(MAX((Patents_Merged!$A$2:$A$731=B9)*(9999-Patents_Merged!$I$2:$I$731))))</f>
        <v/>
      </c>
      <c r="O9" s="2" t="str">
        <f>IF(K9=0,"",SUMPRODUCT(MAX((Patents_Merged!$A$2:$A$731=B9)*Patents_Merged!$I$2:$I$731)))</f>
        <v/>
      </c>
      <c r="P9" s="2">
        <f>COUNTIFS(Patents_Merged!$A$2:$A$731,B9,Patents_Merged!$J$2:$J$731,"IN")</f>
        <v>0</v>
      </c>
      <c r="Q9" s="2">
        <f>COUNTIFS(Patents_Merged!$A$2:$A$731,B9,Patents_Merged!$J$2:$J$731,"WO")</f>
        <v>0</v>
      </c>
      <c r="R9" s="2">
        <f t="shared" si="1"/>
        <v>0</v>
      </c>
      <c r="S9" s="6" t="s">
        <v>46</v>
      </c>
    </row>
    <row r="10" spans="1:19">
      <c r="A10" s="2">
        <v>9</v>
      </c>
      <c r="B10" s="2" t="s">
        <v>47</v>
      </c>
      <c r="C10" s="2" t="s">
        <v>20</v>
      </c>
      <c r="D10" s="2">
        <v>2014</v>
      </c>
      <c r="E10" s="2" t="s">
        <v>21</v>
      </c>
      <c r="F10" s="3">
        <v>238.06</v>
      </c>
      <c r="G10" s="4">
        <v>637</v>
      </c>
      <c r="H10" s="2" t="s">
        <v>48</v>
      </c>
      <c r="I10" s="4">
        <v>0</v>
      </c>
      <c r="J10" s="4">
        <v>0</v>
      </c>
      <c r="K10" s="2">
        <f>COUNTIF(Patents_Merged!$A$2:$A$731,B10)</f>
        <v>0</v>
      </c>
      <c r="L10" s="2">
        <f t="shared" si="0"/>
        <v>0</v>
      </c>
      <c r="M10" s="5">
        <f>IFERROR(SUMPRODUCT((Patents_Merged!$A$2:$A$731=B10)/COUNTIFS(Patents_Merged!$A$2:$A$731,Patents_Merged!$A$2:$A$731,Patents_Merged!$G$2:$G$731,Patents_Merged!$G$2:$G$731)),0)</f>
        <v>0</v>
      </c>
      <c r="N10" s="2" t="str">
        <f>IF(K10=0,"",9999-SUMPRODUCT(MAX((Patents_Merged!$A$2:$A$731=B10)*(9999-Patents_Merged!$I$2:$I$731))))</f>
        <v/>
      </c>
      <c r="O10" s="2" t="str">
        <f>IF(K10=0,"",SUMPRODUCT(MAX((Patents_Merged!$A$2:$A$731=B10)*Patents_Merged!$I$2:$I$731)))</f>
        <v/>
      </c>
      <c r="P10" s="2">
        <f>COUNTIFS(Patents_Merged!$A$2:$A$731,B10,Patents_Merged!$J$2:$J$731,"IN")</f>
        <v>0</v>
      </c>
      <c r="Q10" s="2">
        <f>COUNTIFS(Patents_Merged!$A$2:$A$731,B10,Patents_Merged!$J$2:$J$731,"WO")</f>
        <v>0</v>
      </c>
      <c r="R10" s="2">
        <f t="shared" si="1"/>
        <v>0</v>
      </c>
      <c r="S10" s="6" t="s">
        <v>49</v>
      </c>
    </row>
    <row r="11" spans="1:19">
      <c r="A11" s="2">
        <v>10</v>
      </c>
      <c r="B11" s="2" t="s">
        <v>50</v>
      </c>
      <c r="C11" s="2" t="s">
        <v>20</v>
      </c>
      <c r="D11" s="2">
        <v>2017</v>
      </c>
      <c r="E11" s="2" t="s">
        <v>21</v>
      </c>
      <c r="F11" s="3">
        <v>135</v>
      </c>
      <c r="G11" s="4">
        <v>959</v>
      </c>
      <c r="H11" s="2" t="s">
        <v>51</v>
      </c>
      <c r="I11" s="4">
        <v>87</v>
      </c>
      <c r="J11" s="4">
        <v>87</v>
      </c>
      <c r="K11" s="2">
        <f>COUNTIF(Patents_Merged!$A$2:$A$731,B11)</f>
        <v>87</v>
      </c>
      <c r="L11" s="2">
        <f t="shared" si="0"/>
        <v>0</v>
      </c>
      <c r="M11" s="5">
        <f>IFERROR(SUMPRODUCT((Patents_Merged!$A$2:$A$731=B11)/COUNTIFS(Patents_Merged!$A$2:$A$731,Patents_Merged!$A$2:$A$731,Patents_Merged!$G$2:$G$731,Patents_Merged!$G$2:$G$731)),0)</f>
        <v>87</v>
      </c>
      <c r="N11" s="2">
        <f>IF(K11=0,"",9999-SUMPRODUCT(MAX((Patents_Merged!$A$2:$A$731=B11)*(9999-Patents_Merged!$I$2:$I$731))))</f>
        <v>2018</v>
      </c>
      <c r="O11" s="2">
        <f>IF(K11=0,"",SUMPRODUCT(MAX((Patents_Merged!$A$2:$A$731=B11)*Patents_Merged!$I$2:$I$731)))</f>
        <v>2026</v>
      </c>
      <c r="P11" s="2">
        <f>COUNTIFS(Patents_Merged!$A$2:$A$731,B11,Patents_Merged!$J$2:$J$731,"IN")</f>
        <v>7</v>
      </c>
      <c r="Q11" s="2">
        <f>COUNTIFS(Patents_Merged!$A$2:$A$731,B11,Patents_Merged!$J$2:$J$731,"WO")</f>
        <v>54</v>
      </c>
      <c r="R11" s="2">
        <f t="shared" si="1"/>
        <v>26</v>
      </c>
      <c r="S11" s="6" t="s">
        <v>23</v>
      </c>
    </row>
    <row r="12" spans="1:19">
      <c r="A12" s="2">
        <v>11</v>
      </c>
      <c r="B12" s="2" t="s">
        <v>52</v>
      </c>
      <c r="C12" s="2" t="s">
        <v>20</v>
      </c>
      <c r="D12" s="2">
        <v>2016</v>
      </c>
      <c r="E12" s="2" t="s">
        <v>21</v>
      </c>
      <c r="F12" s="3">
        <v>220.9</v>
      </c>
      <c r="G12" s="4">
        <v>586</v>
      </c>
      <c r="H12" s="2" t="s">
        <v>53</v>
      </c>
      <c r="I12" s="4">
        <v>43</v>
      </c>
      <c r="J12" s="4">
        <v>43</v>
      </c>
      <c r="K12" s="2">
        <f>COUNTIF(Patents_Merged!$A$2:$A$731,B12)</f>
        <v>43</v>
      </c>
      <c r="L12" s="2">
        <f t="shared" si="0"/>
        <v>0</v>
      </c>
      <c r="M12" s="5">
        <f>IFERROR(SUMPRODUCT((Patents_Merged!$A$2:$A$731=B12)/COUNTIFS(Patents_Merged!$A$2:$A$731,Patents_Merged!$A$2:$A$731,Patents_Merged!$G$2:$G$731,Patents_Merged!$G$2:$G$731)),0)</f>
        <v>43</v>
      </c>
      <c r="N12" s="2">
        <f>IF(K12=0,"",9999-SUMPRODUCT(MAX((Patents_Merged!$A$2:$A$731=B12)*(9999-Patents_Merged!$I$2:$I$731))))</f>
        <v>2018</v>
      </c>
      <c r="O12" s="2">
        <f>IF(K12=0,"",SUMPRODUCT(MAX((Patents_Merged!$A$2:$A$731=B12)*Patents_Merged!$I$2:$I$731)))</f>
        <v>2024</v>
      </c>
      <c r="P12" s="2">
        <f>COUNTIFS(Patents_Merged!$A$2:$A$731,B12,Patents_Merged!$J$2:$J$731,"IN")</f>
        <v>37</v>
      </c>
      <c r="Q12" s="2">
        <f>COUNTIFS(Patents_Merged!$A$2:$A$731,B12,Patents_Merged!$J$2:$J$731,"WO")</f>
        <v>6</v>
      </c>
      <c r="R12" s="2">
        <f t="shared" si="1"/>
        <v>0</v>
      </c>
      <c r="S12" s="6" t="s">
        <v>23</v>
      </c>
    </row>
    <row r="13" spans="1:19" ht="26.4">
      <c r="A13" s="2">
        <v>12</v>
      </c>
      <c r="B13" s="2" t="s">
        <v>54</v>
      </c>
      <c r="C13" s="2" t="s">
        <v>55</v>
      </c>
      <c r="D13" s="2">
        <v>2023</v>
      </c>
      <c r="E13" s="2" t="s">
        <v>56</v>
      </c>
      <c r="F13" s="3">
        <v>113.14</v>
      </c>
      <c r="G13" s="4">
        <v>901</v>
      </c>
      <c r="H13" s="2" t="s">
        <v>57</v>
      </c>
      <c r="I13" s="4">
        <v>0</v>
      </c>
      <c r="J13" s="4">
        <v>0</v>
      </c>
      <c r="K13" s="2">
        <f>COUNTIF(Patents_Merged!$A$2:$A$731,B13)</f>
        <v>0</v>
      </c>
      <c r="L13" s="2">
        <f t="shared" si="0"/>
        <v>0</v>
      </c>
      <c r="M13" s="5">
        <f>IFERROR(SUMPRODUCT((Patents_Merged!$A$2:$A$731=B13)/COUNTIFS(Patents_Merged!$A$2:$A$731,Patents_Merged!$A$2:$A$731,Patents_Merged!$G$2:$G$731,Patents_Merged!$G$2:$G$731)),0)</f>
        <v>0</v>
      </c>
      <c r="N13" s="2" t="str">
        <f>IF(K13=0,"",9999-SUMPRODUCT(MAX((Patents_Merged!$A$2:$A$731=B13)*(9999-Patents_Merged!$I$2:$I$731))))</f>
        <v/>
      </c>
      <c r="O13" s="2" t="str">
        <f>IF(K13=0,"",SUMPRODUCT(MAX((Patents_Merged!$A$2:$A$731=B13)*Patents_Merged!$I$2:$I$731)))</f>
        <v/>
      </c>
      <c r="P13" s="2">
        <f>COUNTIFS(Patents_Merged!$A$2:$A$731,B13,Patents_Merged!$J$2:$J$731,"IN")</f>
        <v>0</v>
      </c>
      <c r="Q13" s="2">
        <f>COUNTIFS(Patents_Merged!$A$2:$A$731,B13,Patents_Merged!$J$2:$J$731,"WO")</f>
        <v>0</v>
      </c>
      <c r="R13" s="2">
        <f t="shared" si="1"/>
        <v>0</v>
      </c>
      <c r="S13" s="6" t="s">
        <v>58</v>
      </c>
    </row>
    <row r="14" spans="1:19" ht="26.4">
      <c r="A14" s="2">
        <v>13</v>
      </c>
      <c r="B14" s="2" t="s">
        <v>59</v>
      </c>
      <c r="C14" s="2" t="s">
        <v>20</v>
      </c>
      <c r="D14" s="2">
        <v>2022</v>
      </c>
      <c r="E14" s="2" t="s">
        <v>60</v>
      </c>
      <c r="F14" s="3">
        <v>103.94</v>
      </c>
      <c r="G14" s="4">
        <v>1113</v>
      </c>
      <c r="H14" s="2" t="s">
        <v>61</v>
      </c>
      <c r="I14" s="4">
        <v>0</v>
      </c>
      <c r="J14" s="4">
        <v>0</v>
      </c>
      <c r="K14" s="2">
        <f>COUNTIF(Patents_Merged!$A$2:$A$731,B14)</f>
        <v>0</v>
      </c>
      <c r="L14" s="2">
        <f t="shared" si="0"/>
        <v>0</v>
      </c>
      <c r="M14" s="5">
        <f>IFERROR(SUMPRODUCT((Patents_Merged!$A$2:$A$731=B14)/COUNTIFS(Patents_Merged!$A$2:$A$731,Patents_Merged!$A$2:$A$731,Patents_Merged!$G$2:$G$731,Patents_Merged!$G$2:$G$731)),0)</f>
        <v>0</v>
      </c>
      <c r="N14" s="2" t="str">
        <f>IF(K14=0,"",9999-SUMPRODUCT(MAX((Patents_Merged!$A$2:$A$731=B14)*(9999-Patents_Merged!$I$2:$I$731))))</f>
        <v/>
      </c>
      <c r="O14" s="2" t="str">
        <f>IF(K14=0,"",SUMPRODUCT(MAX((Patents_Merged!$A$2:$A$731=B14)*Patents_Merged!$I$2:$I$731)))</f>
        <v/>
      </c>
      <c r="P14" s="2">
        <f>COUNTIFS(Patents_Merged!$A$2:$A$731,B14,Patents_Merged!$J$2:$J$731,"IN")</f>
        <v>0</v>
      </c>
      <c r="Q14" s="2">
        <f>COUNTIFS(Patents_Merged!$A$2:$A$731,B14,Patents_Merged!$J$2:$J$731,"WO")</f>
        <v>0</v>
      </c>
      <c r="R14" s="2">
        <f t="shared" si="1"/>
        <v>0</v>
      </c>
      <c r="S14" s="6" t="s">
        <v>62</v>
      </c>
    </row>
    <row r="15" spans="1:19" ht="39.6">
      <c r="A15" s="2">
        <v>14</v>
      </c>
      <c r="B15" s="2" t="s">
        <v>63</v>
      </c>
      <c r="C15" s="2" t="s">
        <v>20</v>
      </c>
      <c r="D15" s="2">
        <v>2022</v>
      </c>
      <c r="E15" s="2" t="s">
        <v>44</v>
      </c>
      <c r="F15" s="3">
        <v>463.86</v>
      </c>
      <c r="G15" s="4">
        <v>50</v>
      </c>
      <c r="H15" s="2" t="s">
        <v>64</v>
      </c>
      <c r="I15" s="4">
        <v>240</v>
      </c>
      <c r="J15" s="4">
        <v>0</v>
      </c>
      <c r="K15" s="2">
        <f>COUNTIF(Patents_Merged!$A$2:$A$731,B15)</f>
        <v>0</v>
      </c>
      <c r="L15" s="2">
        <f t="shared" si="0"/>
        <v>0</v>
      </c>
      <c r="M15" s="5">
        <f>IFERROR(SUMPRODUCT((Patents_Merged!$A$2:$A$731=B15)/COUNTIFS(Patents_Merged!$A$2:$A$731,Patents_Merged!$A$2:$A$731,Patents_Merged!$G$2:$G$731,Patents_Merged!$G$2:$G$731)),0)</f>
        <v>0</v>
      </c>
      <c r="N15" s="2" t="str">
        <f>IF(K15=0,"",9999-SUMPRODUCT(MAX((Patents_Merged!$A$2:$A$731=B15)*(9999-Patents_Merged!$I$2:$I$731))))</f>
        <v/>
      </c>
      <c r="O15" s="2" t="str">
        <f>IF(K15=0,"",SUMPRODUCT(MAX((Patents_Merged!$A$2:$A$731=B15)*Patents_Merged!$I$2:$I$731)))</f>
        <v/>
      </c>
      <c r="P15" s="2">
        <f>COUNTIFS(Patents_Merged!$A$2:$A$731,B15,Patents_Merged!$J$2:$J$731,"IN")</f>
        <v>0</v>
      </c>
      <c r="Q15" s="2">
        <f>COUNTIFS(Patents_Merged!$A$2:$A$731,B15,Patents_Merged!$J$2:$J$731,"WO")</f>
        <v>0</v>
      </c>
      <c r="R15" s="2">
        <f t="shared" si="1"/>
        <v>0</v>
      </c>
      <c r="S15" s="6" t="s">
        <v>65</v>
      </c>
    </row>
    <row r="16" spans="1:19">
      <c r="A16" s="2">
        <v>15</v>
      </c>
      <c r="B16" s="2" t="s">
        <v>66</v>
      </c>
      <c r="C16" s="2" t="s">
        <v>20</v>
      </c>
      <c r="D16" s="2">
        <v>2019</v>
      </c>
      <c r="E16" s="2" t="s">
        <v>67</v>
      </c>
      <c r="F16" s="3">
        <v>88</v>
      </c>
      <c r="G16" s="4">
        <v>754</v>
      </c>
      <c r="H16" s="2" t="s">
        <v>68</v>
      </c>
      <c r="I16" s="4">
        <v>65</v>
      </c>
      <c r="J16" s="4">
        <v>65</v>
      </c>
      <c r="K16" s="2">
        <f>COUNTIF(Patents_Merged!$A$2:$A$731,B16)</f>
        <v>65</v>
      </c>
      <c r="L16" s="2">
        <f t="shared" si="0"/>
        <v>0</v>
      </c>
      <c r="M16" s="5">
        <f>IFERROR(SUMPRODUCT((Patents_Merged!$A$2:$A$731=B16)/COUNTIFS(Patents_Merged!$A$2:$A$731,Patents_Merged!$A$2:$A$731,Patents_Merged!$G$2:$G$731,Patents_Merged!$G$2:$G$731)),0)</f>
        <v>65</v>
      </c>
      <c r="N16" s="2">
        <f>IF(K16=0,"",9999-SUMPRODUCT(MAX((Patents_Merged!$A$2:$A$731=B16)*(9999-Patents_Merged!$I$2:$I$731))))</f>
        <v>2021</v>
      </c>
      <c r="O16" s="2">
        <f>IF(K16=0,"",SUMPRODUCT(MAX((Patents_Merged!$A$2:$A$731=B16)*Patents_Merged!$I$2:$I$731)))</f>
        <v>2026</v>
      </c>
      <c r="P16" s="2">
        <f>COUNTIFS(Patents_Merged!$A$2:$A$731,B16,Patents_Merged!$J$2:$J$731,"IN")</f>
        <v>53</v>
      </c>
      <c r="Q16" s="2">
        <f>COUNTIFS(Patents_Merged!$A$2:$A$731,B16,Patents_Merged!$J$2:$J$731,"WO")</f>
        <v>10</v>
      </c>
      <c r="R16" s="2">
        <f t="shared" si="1"/>
        <v>2</v>
      </c>
      <c r="S16" s="6" t="s">
        <v>23</v>
      </c>
    </row>
    <row r="17" spans="1:19">
      <c r="A17" s="2">
        <v>16</v>
      </c>
      <c r="B17" s="2" t="s">
        <v>69</v>
      </c>
      <c r="C17" s="2" t="s">
        <v>25</v>
      </c>
      <c r="D17" s="2">
        <v>2010</v>
      </c>
      <c r="E17" s="2" t="s">
        <v>60</v>
      </c>
      <c r="F17" s="3">
        <v>107.4</v>
      </c>
      <c r="G17" s="4">
        <v>620</v>
      </c>
      <c r="H17" s="2" t="s">
        <v>70</v>
      </c>
      <c r="I17" s="4">
        <v>1</v>
      </c>
      <c r="J17" s="4">
        <v>1</v>
      </c>
      <c r="K17" s="2">
        <f>COUNTIF(Patents_Merged!$A$2:$A$731,B17)</f>
        <v>1</v>
      </c>
      <c r="L17" s="2">
        <f t="shared" si="0"/>
        <v>0</v>
      </c>
      <c r="M17" s="5">
        <f>IFERROR(SUMPRODUCT((Patents_Merged!$A$2:$A$731=B17)/COUNTIFS(Patents_Merged!$A$2:$A$731,Patents_Merged!$A$2:$A$731,Patents_Merged!$G$2:$G$731,Patents_Merged!$G$2:$G$731)),0)</f>
        <v>1</v>
      </c>
      <c r="N17" s="2">
        <f>IF(K17=0,"",9999-SUMPRODUCT(MAX((Patents_Merged!$A$2:$A$731=B17)*(9999-Patents_Merged!$I$2:$I$731))))</f>
        <v>2021</v>
      </c>
      <c r="O17" s="2">
        <f>IF(K17=0,"",SUMPRODUCT(MAX((Patents_Merged!$A$2:$A$731=B17)*Patents_Merged!$I$2:$I$731)))</f>
        <v>2021</v>
      </c>
      <c r="P17" s="2">
        <f>COUNTIFS(Patents_Merged!$A$2:$A$731,B17,Patents_Merged!$J$2:$J$731,"IN")</f>
        <v>1</v>
      </c>
      <c r="Q17" s="2">
        <f>COUNTIFS(Patents_Merged!$A$2:$A$731,B17,Patents_Merged!$J$2:$J$731,"WO")</f>
        <v>0</v>
      </c>
      <c r="R17" s="2">
        <f t="shared" si="1"/>
        <v>0</v>
      </c>
      <c r="S17" s="6" t="s">
        <v>23</v>
      </c>
    </row>
    <row r="18" spans="1:19">
      <c r="A18" s="2">
        <v>17</v>
      </c>
      <c r="B18" s="2" t="s">
        <v>71</v>
      </c>
      <c r="C18" s="2" t="s">
        <v>20</v>
      </c>
      <c r="D18" s="2">
        <v>2014</v>
      </c>
      <c r="E18" s="2" t="s">
        <v>72</v>
      </c>
      <c r="F18" s="3">
        <v>200</v>
      </c>
      <c r="G18" s="4">
        <v>84</v>
      </c>
      <c r="H18" s="2" t="s">
        <v>73</v>
      </c>
      <c r="I18" s="4">
        <v>28</v>
      </c>
      <c r="J18" s="4">
        <v>28</v>
      </c>
      <c r="K18" s="2">
        <f>COUNTIF(Patents_Merged!$A$2:$A$731,B18)</f>
        <v>28</v>
      </c>
      <c r="L18" s="2">
        <f t="shared" si="0"/>
        <v>0</v>
      </c>
      <c r="M18" s="5">
        <f>IFERROR(SUMPRODUCT((Patents_Merged!$A$2:$A$731=B18)/COUNTIFS(Patents_Merged!$A$2:$A$731,Patents_Merged!$A$2:$A$731,Patents_Merged!$G$2:$G$731,Patents_Merged!$G$2:$G$731)),0)</f>
        <v>28</v>
      </c>
      <c r="N18" s="2">
        <f>IF(K18=0,"",9999-SUMPRODUCT(MAX((Patents_Merged!$A$2:$A$731=B18)*(9999-Patents_Merged!$I$2:$I$731))))</f>
        <v>2016</v>
      </c>
      <c r="O18" s="2">
        <f>IF(K18=0,"",SUMPRODUCT(MAX((Patents_Merged!$A$2:$A$731=B18)*Patents_Merged!$I$2:$I$731)))</f>
        <v>2020</v>
      </c>
      <c r="P18" s="2">
        <f>COUNTIFS(Patents_Merged!$A$2:$A$731,B18,Patents_Merged!$J$2:$J$731,"IN")</f>
        <v>11</v>
      </c>
      <c r="Q18" s="2">
        <f>COUNTIFS(Patents_Merged!$A$2:$A$731,B18,Patents_Merged!$J$2:$J$731,"WO")</f>
        <v>12</v>
      </c>
      <c r="R18" s="2">
        <f t="shared" si="1"/>
        <v>5</v>
      </c>
      <c r="S18" s="6" t="s">
        <v>23</v>
      </c>
    </row>
    <row r="19" spans="1:19">
      <c r="A19" s="2">
        <v>18</v>
      </c>
      <c r="B19" s="2" t="s">
        <v>74</v>
      </c>
      <c r="C19" s="2" t="s">
        <v>75</v>
      </c>
      <c r="D19" s="2">
        <v>2009</v>
      </c>
      <c r="E19" s="2" t="s">
        <v>76</v>
      </c>
      <c r="F19" s="3">
        <v>190.61</v>
      </c>
      <c r="G19" s="4">
        <v>188</v>
      </c>
      <c r="H19" s="2" t="s">
        <v>77</v>
      </c>
      <c r="I19" s="4">
        <v>104</v>
      </c>
      <c r="J19" s="4">
        <v>104</v>
      </c>
      <c r="K19" s="2">
        <f>COUNTIF(Patents_Merged!$A$2:$A$731,B19)</f>
        <v>104</v>
      </c>
      <c r="L19" s="2">
        <f t="shared" si="0"/>
        <v>0</v>
      </c>
      <c r="M19" s="5">
        <f>IFERROR(SUMPRODUCT((Patents_Merged!$A$2:$A$731=B19)/COUNTIFS(Patents_Merged!$A$2:$A$731,Patents_Merged!$A$2:$A$731,Patents_Merged!$G$2:$G$731,Patents_Merged!$G$2:$G$731)),0)</f>
        <v>100</v>
      </c>
      <c r="N19" s="2">
        <f>IF(K19=0,"",9999-SUMPRODUCT(MAX((Patents_Merged!$A$2:$A$731=B19)*(9999-Patents_Merged!$I$2:$I$731))))</f>
        <v>2012</v>
      </c>
      <c r="O19" s="2">
        <f>IF(K19=0,"",SUMPRODUCT(MAX((Patents_Merged!$A$2:$A$731=B19)*Patents_Merged!$I$2:$I$731)))</f>
        <v>2026</v>
      </c>
      <c r="P19" s="2">
        <f>COUNTIFS(Patents_Merged!$A$2:$A$731,B19,Patents_Merged!$J$2:$J$731,"IN")</f>
        <v>5</v>
      </c>
      <c r="Q19" s="2">
        <f>COUNTIFS(Patents_Merged!$A$2:$A$731,B19,Patents_Merged!$J$2:$J$731,"WO")</f>
        <v>20</v>
      </c>
      <c r="R19" s="2">
        <f t="shared" si="1"/>
        <v>79</v>
      </c>
      <c r="S19" s="6" t="s">
        <v>23</v>
      </c>
    </row>
    <row r="20" spans="1:19">
      <c r="A20" s="2">
        <v>19</v>
      </c>
      <c r="B20" s="2" t="s">
        <v>78</v>
      </c>
      <c r="C20" s="2" t="s">
        <v>75</v>
      </c>
      <c r="D20" s="2">
        <v>2016</v>
      </c>
      <c r="E20" s="2" t="s">
        <v>32</v>
      </c>
      <c r="F20" s="3">
        <v>65.7</v>
      </c>
      <c r="G20" s="4">
        <v>427</v>
      </c>
      <c r="H20" s="2" t="s">
        <v>79</v>
      </c>
      <c r="I20" s="4">
        <v>13</v>
      </c>
      <c r="J20" s="4">
        <v>13</v>
      </c>
      <c r="K20" s="2">
        <f>COUNTIF(Patents_Merged!$A$2:$A$731,B20)</f>
        <v>13</v>
      </c>
      <c r="L20" s="2">
        <f t="shared" si="0"/>
        <v>0</v>
      </c>
      <c r="M20" s="5">
        <f>IFERROR(SUMPRODUCT((Patents_Merged!$A$2:$A$731=B20)/COUNTIFS(Patents_Merged!$A$2:$A$731,Patents_Merged!$A$2:$A$731,Patents_Merged!$G$2:$G$731,Patents_Merged!$G$2:$G$731)),0)</f>
        <v>13</v>
      </c>
      <c r="N20" s="2">
        <f>IF(K20=0,"",9999-SUMPRODUCT(MAX((Patents_Merged!$A$2:$A$731=B20)*(9999-Patents_Merged!$I$2:$I$731))))</f>
        <v>2021</v>
      </c>
      <c r="O20" s="2">
        <f>IF(K20=0,"",SUMPRODUCT(MAX((Patents_Merged!$A$2:$A$731=B20)*Patents_Merged!$I$2:$I$731)))</f>
        <v>2025</v>
      </c>
      <c r="P20" s="2">
        <f>COUNTIFS(Patents_Merged!$A$2:$A$731,B20,Patents_Merged!$J$2:$J$731,"IN")</f>
        <v>8</v>
      </c>
      <c r="Q20" s="2">
        <f>COUNTIFS(Patents_Merged!$A$2:$A$731,B20,Patents_Merged!$J$2:$J$731,"WO")</f>
        <v>5</v>
      </c>
      <c r="R20" s="2">
        <f t="shared" si="1"/>
        <v>0</v>
      </c>
      <c r="S20" s="6" t="s">
        <v>23</v>
      </c>
    </row>
    <row r="21" spans="1:19" ht="26.4">
      <c r="A21" s="2">
        <v>20</v>
      </c>
      <c r="B21" s="2" t="s">
        <v>80</v>
      </c>
      <c r="C21" s="2" t="s">
        <v>20</v>
      </c>
      <c r="D21" s="2">
        <v>2018</v>
      </c>
      <c r="E21" s="2" t="s">
        <v>81</v>
      </c>
      <c r="F21" s="3">
        <v>86.11</v>
      </c>
      <c r="G21" s="4">
        <v>213</v>
      </c>
      <c r="H21" s="2" t="s">
        <v>82</v>
      </c>
      <c r="I21" s="4">
        <v>0</v>
      </c>
      <c r="J21" s="4">
        <v>0</v>
      </c>
      <c r="K21" s="2">
        <f>COUNTIF(Patents_Merged!$A$2:$A$731,B21)</f>
        <v>0</v>
      </c>
      <c r="L21" s="2">
        <f t="shared" si="0"/>
        <v>0</v>
      </c>
      <c r="M21" s="5">
        <f>IFERROR(SUMPRODUCT((Patents_Merged!$A$2:$A$731=B21)/COUNTIFS(Patents_Merged!$A$2:$A$731,Patents_Merged!$A$2:$A$731,Patents_Merged!$G$2:$G$731,Patents_Merged!$G$2:$G$731)),0)</f>
        <v>0</v>
      </c>
      <c r="N21" s="2" t="str">
        <f>IF(K21=0,"",9999-SUMPRODUCT(MAX((Patents_Merged!$A$2:$A$731=B21)*(9999-Patents_Merged!$I$2:$I$731))))</f>
        <v/>
      </c>
      <c r="O21" s="2" t="str">
        <f>IF(K21=0,"",SUMPRODUCT(MAX((Patents_Merged!$A$2:$A$731=B21)*Patents_Merged!$I$2:$I$731)))</f>
        <v/>
      </c>
      <c r="P21" s="2">
        <f>COUNTIFS(Patents_Merged!$A$2:$A$731,B21,Patents_Merged!$J$2:$J$731,"IN")</f>
        <v>0</v>
      </c>
      <c r="Q21" s="2">
        <f>COUNTIFS(Patents_Merged!$A$2:$A$731,B21,Patents_Merged!$J$2:$J$731,"WO")</f>
        <v>0</v>
      </c>
      <c r="R21" s="2">
        <f t="shared" si="1"/>
        <v>0</v>
      </c>
      <c r="S21" s="6" t="s">
        <v>83</v>
      </c>
    </row>
    <row r="22" spans="1:19">
      <c r="B22" s="7" t="s">
        <v>84</v>
      </c>
      <c r="J22" s="7">
        <f>SUM(J2:J21)</f>
        <v>732</v>
      </c>
      <c r="K22" s="7">
        <f>SUM(K2:K21)</f>
        <v>730</v>
      </c>
      <c r="L22" s="7">
        <f>SUM(L2:L21)</f>
        <v>2</v>
      </c>
      <c r="P22" s="7">
        <f>SUM(P2:P21)</f>
        <v>321</v>
      </c>
      <c r="Q22" s="7">
        <f>SUM(Q2:Q21)</f>
        <v>260</v>
      </c>
      <c r="R22" s="7">
        <f>SUM(R2:R21)</f>
        <v>149</v>
      </c>
    </row>
    <row r="24" spans="1:19">
      <c r="B24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22" customWidth="1"/>
    <col min="2" max="3" width="28" customWidth="1"/>
    <col min="4" max="4" width="16" customWidth="1"/>
    <col min="5" max="5" width="20" customWidth="1"/>
    <col min="6" max="6" width="12" customWidth="1"/>
    <col min="7" max="7" width="20" customWidth="1"/>
    <col min="8" max="8" width="12" customWidth="1"/>
    <col min="9" max="10" width="8" customWidth="1"/>
    <col min="11" max="11" width="60" customWidth="1"/>
    <col min="12" max="12" width="30" customWidth="1"/>
    <col min="13" max="13" width="44" customWidth="1"/>
    <col min="14" max="14" width="36" customWidth="1"/>
    <col min="15" max="15" width="16" customWidth="1"/>
    <col min="16" max="16" width="8" customWidth="1"/>
    <col min="17" max="17" width="40" customWidth="1"/>
    <col min="18" max="18" width="36" customWidth="1"/>
    <col min="19" max="19" width="18" customWidth="1"/>
  </cols>
  <sheetData>
    <row r="1" spans="1:19" ht="26.4">
      <c r="A1" s="1" t="s">
        <v>1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</row>
    <row r="2" spans="1:19">
      <c r="A2" s="9" t="s">
        <v>19</v>
      </c>
      <c r="B2" s="9" t="s">
        <v>103</v>
      </c>
      <c r="C2" s="9" t="s">
        <v>22</v>
      </c>
      <c r="D2" s="9" t="s">
        <v>104</v>
      </c>
      <c r="E2" s="9" t="s">
        <v>105</v>
      </c>
      <c r="F2" s="9" t="s">
        <v>106</v>
      </c>
      <c r="G2" s="9" t="s">
        <v>107</v>
      </c>
      <c r="H2" s="9" t="s">
        <v>108</v>
      </c>
      <c r="I2" s="9">
        <v>2021</v>
      </c>
      <c r="J2" s="9" t="s">
        <v>109</v>
      </c>
      <c r="K2" s="9" t="s">
        <v>110</v>
      </c>
      <c r="L2" s="9" t="s">
        <v>111</v>
      </c>
      <c r="M2" s="9" t="s">
        <v>112</v>
      </c>
      <c r="N2" s="9" t="s">
        <v>112</v>
      </c>
      <c r="O2" s="9" t="s">
        <v>113</v>
      </c>
      <c r="P2" s="9">
        <v>1</v>
      </c>
      <c r="Q2" s="9"/>
      <c r="R2" s="9"/>
      <c r="S2" s="9" t="s">
        <v>114</v>
      </c>
    </row>
    <row r="3" spans="1:19">
      <c r="A3" s="9" t="s">
        <v>19</v>
      </c>
      <c r="B3" s="9" t="s">
        <v>103</v>
      </c>
      <c r="C3" s="9" t="s">
        <v>22</v>
      </c>
      <c r="D3" s="9" t="s">
        <v>115</v>
      </c>
      <c r="E3" s="9" t="s">
        <v>116</v>
      </c>
      <c r="F3" s="9" t="s">
        <v>106</v>
      </c>
      <c r="G3" s="9" t="s">
        <v>117</v>
      </c>
      <c r="H3" s="9" t="s">
        <v>108</v>
      </c>
      <c r="I3" s="9">
        <v>2021</v>
      </c>
      <c r="J3" s="9" t="s">
        <v>109</v>
      </c>
      <c r="K3" s="9" t="s">
        <v>118</v>
      </c>
      <c r="L3" s="9" t="s">
        <v>119</v>
      </c>
      <c r="M3" s="9" t="s">
        <v>112</v>
      </c>
      <c r="N3" s="9" t="s">
        <v>112</v>
      </c>
      <c r="O3" s="9" t="s">
        <v>113</v>
      </c>
      <c r="P3" s="9">
        <v>1</v>
      </c>
      <c r="Q3" s="9"/>
      <c r="R3" s="9"/>
      <c r="S3" s="9" t="s">
        <v>114</v>
      </c>
    </row>
    <row r="4" spans="1:19">
      <c r="A4" s="9" t="s">
        <v>19</v>
      </c>
      <c r="B4" s="9" t="s">
        <v>103</v>
      </c>
      <c r="C4" s="9" t="s">
        <v>22</v>
      </c>
      <c r="D4" s="9" t="s">
        <v>120</v>
      </c>
      <c r="E4" s="9" t="s">
        <v>121</v>
      </c>
      <c r="F4" s="9" t="s">
        <v>122</v>
      </c>
      <c r="G4" s="9" t="s">
        <v>123</v>
      </c>
      <c r="H4" s="9" t="s">
        <v>108</v>
      </c>
      <c r="I4" s="9">
        <v>2021</v>
      </c>
      <c r="J4" s="9" t="s">
        <v>109</v>
      </c>
      <c r="K4" s="9" t="s">
        <v>124</v>
      </c>
      <c r="L4" s="9" t="s">
        <v>125</v>
      </c>
      <c r="M4" s="9" t="s">
        <v>112</v>
      </c>
      <c r="N4" s="9" t="s">
        <v>112</v>
      </c>
      <c r="O4" s="9" t="s">
        <v>113</v>
      </c>
      <c r="P4" s="9">
        <v>1</v>
      </c>
      <c r="Q4" s="9"/>
      <c r="R4" s="9"/>
      <c r="S4" s="9" t="s">
        <v>114</v>
      </c>
    </row>
    <row r="5" spans="1:19">
      <c r="A5" s="9" t="s">
        <v>19</v>
      </c>
      <c r="B5" s="9" t="s">
        <v>103</v>
      </c>
      <c r="C5" s="9" t="s">
        <v>22</v>
      </c>
      <c r="D5" s="9" t="s">
        <v>126</v>
      </c>
      <c r="E5" s="9" t="s">
        <v>127</v>
      </c>
      <c r="F5" s="9" t="s">
        <v>128</v>
      </c>
      <c r="G5" s="9" t="s">
        <v>127</v>
      </c>
      <c r="H5" s="9" t="s">
        <v>129</v>
      </c>
      <c r="I5" s="9">
        <v>2021</v>
      </c>
      <c r="J5" s="9" t="s">
        <v>130</v>
      </c>
      <c r="K5" s="9" t="s">
        <v>131</v>
      </c>
      <c r="L5" s="9" t="s">
        <v>132</v>
      </c>
      <c r="M5" s="9" t="s">
        <v>112</v>
      </c>
      <c r="N5" s="9" t="s">
        <v>112</v>
      </c>
      <c r="O5" s="9" t="s">
        <v>113</v>
      </c>
      <c r="P5" s="9">
        <v>1</v>
      </c>
      <c r="Q5" s="9"/>
      <c r="R5" s="9"/>
      <c r="S5" s="9" t="s">
        <v>114</v>
      </c>
    </row>
    <row r="6" spans="1:19">
      <c r="A6" s="9" t="s">
        <v>19</v>
      </c>
      <c r="B6" s="9" t="s">
        <v>103</v>
      </c>
      <c r="C6" s="9" t="s">
        <v>22</v>
      </c>
      <c r="D6" s="9" t="s">
        <v>133</v>
      </c>
      <c r="E6" s="9" t="s">
        <v>134</v>
      </c>
      <c r="F6" s="9" t="s">
        <v>128</v>
      </c>
      <c r="G6" s="9" t="s">
        <v>134</v>
      </c>
      <c r="H6" s="9" t="s">
        <v>129</v>
      </c>
      <c r="I6" s="9">
        <v>2021</v>
      </c>
      <c r="J6" s="9" t="s">
        <v>130</v>
      </c>
      <c r="K6" s="9" t="s">
        <v>135</v>
      </c>
      <c r="L6" s="9" t="s">
        <v>136</v>
      </c>
      <c r="M6" s="9" t="s">
        <v>112</v>
      </c>
      <c r="N6" s="9" t="s">
        <v>112</v>
      </c>
      <c r="O6" s="9" t="s">
        <v>113</v>
      </c>
      <c r="P6" s="9">
        <v>1</v>
      </c>
      <c r="Q6" s="9"/>
      <c r="R6" s="9"/>
      <c r="S6" s="9" t="s">
        <v>114</v>
      </c>
    </row>
    <row r="7" spans="1:19">
      <c r="A7" s="9" t="s">
        <v>19</v>
      </c>
      <c r="B7" s="9" t="s">
        <v>103</v>
      </c>
      <c r="C7" s="9" t="s">
        <v>22</v>
      </c>
      <c r="D7" s="9" t="s">
        <v>137</v>
      </c>
      <c r="E7" s="9" t="s">
        <v>138</v>
      </c>
      <c r="F7" s="9" t="s">
        <v>128</v>
      </c>
      <c r="G7" s="9" t="s">
        <v>138</v>
      </c>
      <c r="H7" s="9" t="s">
        <v>129</v>
      </c>
      <c r="I7" s="9">
        <v>2021</v>
      </c>
      <c r="J7" s="9" t="s">
        <v>130</v>
      </c>
      <c r="K7" s="9" t="s">
        <v>124</v>
      </c>
      <c r="L7" s="9" t="s">
        <v>139</v>
      </c>
      <c r="M7" s="9" t="s">
        <v>112</v>
      </c>
      <c r="N7" s="9" t="s">
        <v>112</v>
      </c>
      <c r="O7" s="9" t="s">
        <v>113</v>
      </c>
      <c r="P7" s="9">
        <v>1</v>
      </c>
      <c r="Q7" s="9"/>
      <c r="R7" s="9"/>
      <c r="S7" s="9" t="s">
        <v>114</v>
      </c>
    </row>
    <row r="8" spans="1:19">
      <c r="A8" s="9" t="s">
        <v>19</v>
      </c>
      <c r="B8" s="9" t="s">
        <v>103</v>
      </c>
      <c r="C8" s="9" t="s">
        <v>22</v>
      </c>
      <c r="D8" s="9" t="s">
        <v>140</v>
      </c>
      <c r="E8" s="9" t="s">
        <v>141</v>
      </c>
      <c r="F8" s="9" t="s">
        <v>142</v>
      </c>
      <c r="G8" s="9" t="s">
        <v>143</v>
      </c>
      <c r="H8" s="9" t="s">
        <v>144</v>
      </c>
      <c r="I8" s="9">
        <v>2021</v>
      </c>
      <c r="J8" s="9" t="s">
        <v>109</v>
      </c>
      <c r="K8" s="9" t="s">
        <v>145</v>
      </c>
      <c r="L8" s="9" t="s">
        <v>146</v>
      </c>
      <c r="M8" s="9" t="s">
        <v>112</v>
      </c>
      <c r="N8" s="9" t="s">
        <v>112</v>
      </c>
      <c r="O8" s="9" t="s">
        <v>113</v>
      </c>
      <c r="P8" s="9">
        <v>1</v>
      </c>
      <c r="Q8" s="9"/>
      <c r="R8" s="9"/>
      <c r="S8" s="9" t="s">
        <v>114</v>
      </c>
    </row>
    <row r="9" spans="1:19">
      <c r="A9" s="9" t="s">
        <v>19</v>
      </c>
      <c r="B9" s="9" t="s">
        <v>103</v>
      </c>
      <c r="C9" s="9" t="s">
        <v>22</v>
      </c>
      <c r="D9" s="9" t="s">
        <v>147</v>
      </c>
      <c r="E9" s="9" t="s">
        <v>148</v>
      </c>
      <c r="F9" s="9" t="s">
        <v>149</v>
      </c>
      <c r="G9" s="9" t="s">
        <v>148</v>
      </c>
      <c r="H9" s="9" t="s">
        <v>150</v>
      </c>
      <c r="I9" s="9">
        <v>2021</v>
      </c>
      <c r="J9" s="9" t="s">
        <v>130</v>
      </c>
      <c r="K9" s="9" t="s">
        <v>151</v>
      </c>
      <c r="L9" s="9" t="s">
        <v>152</v>
      </c>
      <c r="M9" s="9" t="s">
        <v>112</v>
      </c>
      <c r="N9" s="9" t="s">
        <v>112</v>
      </c>
      <c r="O9" s="9" t="s">
        <v>113</v>
      </c>
      <c r="P9" s="9">
        <v>1</v>
      </c>
      <c r="Q9" s="9"/>
      <c r="R9" s="9"/>
      <c r="S9" s="9" t="s">
        <v>114</v>
      </c>
    </row>
    <row r="10" spans="1:19">
      <c r="A10" s="9" t="s">
        <v>19</v>
      </c>
      <c r="B10" s="9" t="s">
        <v>103</v>
      </c>
      <c r="C10" s="9" t="s">
        <v>22</v>
      </c>
      <c r="D10" s="9" t="s">
        <v>153</v>
      </c>
      <c r="E10" s="9" t="s">
        <v>154</v>
      </c>
      <c r="F10" s="9" t="s">
        <v>155</v>
      </c>
      <c r="G10" s="9" t="s">
        <v>156</v>
      </c>
      <c r="H10" s="9" t="s">
        <v>157</v>
      </c>
      <c r="I10" s="9">
        <v>2021</v>
      </c>
      <c r="J10" s="9" t="s">
        <v>158</v>
      </c>
      <c r="K10" s="9" t="s">
        <v>159</v>
      </c>
      <c r="L10" s="9" t="s">
        <v>160</v>
      </c>
      <c r="M10" s="9" t="s">
        <v>161</v>
      </c>
      <c r="N10" s="9" t="s">
        <v>161</v>
      </c>
      <c r="O10" s="9" t="s">
        <v>113</v>
      </c>
      <c r="P10" s="9">
        <v>1</v>
      </c>
      <c r="Q10" s="9"/>
      <c r="R10" s="9"/>
      <c r="S10" s="9" t="s">
        <v>114</v>
      </c>
    </row>
    <row r="11" spans="1:19">
      <c r="A11" s="9" t="s">
        <v>19</v>
      </c>
      <c r="B11" s="9" t="s">
        <v>103</v>
      </c>
      <c r="C11" s="9" t="s">
        <v>22</v>
      </c>
      <c r="D11" s="9" t="s">
        <v>162</v>
      </c>
      <c r="E11" s="9" t="s">
        <v>163</v>
      </c>
      <c r="F11" s="9" t="s">
        <v>164</v>
      </c>
      <c r="G11" s="9" t="s">
        <v>165</v>
      </c>
      <c r="H11" s="9" t="s">
        <v>157</v>
      </c>
      <c r="I11" s="9">
        <v>2021</v>
      </c>
      <c r="J11" s="9" t="s">
        <v>158</v>
      </c>
      <c r="K11" s="9" t="s">
        <v>166</v>
      </c>
      <c r="L11" s="9" t="s">
        <v>167</v>
      </c>
      <c r="M11" s="9" t="s">
        <v>161</v>
      </c>
      <c r="N11" s="9" t="s">
        <v>161</v>
      </c>
      <c r="O11" s="9" t="s">
        <v>113</v>
      </c>
      <c r="P11" s="9">
        <v>1</v>
      </c>
      <c r="Q11" s="9"/>
      <c r="R11" s="9"/>
      <c r="S11" s="9" t="s">
        <v>114</v>
      </c>
    </row>
    <row r="12" spans="1:19">
      <c r="A12" s="9" t="s">
        <v>19</v>
      </c>
      <c r="B12" s="9" t="s">
        <v>103</v>
      </c>
      <c r="C12" s="9" t="s">
        <v>22</v>
      </c>
      <c r="D12" s="9" t="s">
        <v>168</v>
      </c>
      <c r="E12" s="9" t="s">
        <v>169</v>
      </c>
      <c r="F12" s="9" t="s">
        <v>170</v>
      </c>
      <c r="G12" s="9" t="s">
        <v>171</v>
      </c>
      <c r="H12" s="9" t="s">
        <v>172</v>
      </c>
      <c r="I12" s="9">
        <v>2021</v>
      </c>
      <c r="J12" s="9" t="s">
        <v>109</v>
      </c>
      <c r="K12" s="9" t="s">
        <v>173</v>
      </c>
      <c r="L12" s="9" t="s">
        <v>174</v>
      </c>
      <c r="M12" s="9" t="s">
        <v>112</v>
      </c>
      <c r="N12" s="9" t="s">
        <v>112</v>
      </c>
      <c r="O12" s="9" t="s">
        <v>113</v>
      </c>
      <c r="P12" s="9">
        <v>1</v>
      </c>
      <c r="Q12" s="9"/>
      <c r="R12" s="9"/>
      <c r="S12" s="9" t="s">
        <v>114</v>
      </c>
    </row>
    <row r="13" spans="1:19">
      <c r="A13" s="9" t="s">
        <v>19</v>
      </c>
      <c r="B13" s="9" t="s">
        <v>103</v>
      </c>
      <c r="C13" s="9" t="s">
        <v>22</v>
      </c>
      <c r="D13" s="9" t="s">
        <v>175</v>
      </c>
      <c r="E13" s="9" t="s">
        <v>176</v>
      </c>
      <c r="F13" s="9" t="s">
        <v>177</v>
      </c>
      <c r="G13" s="9" t="s">
        <v>178</v>
      </c>
      <c r="H13" s="9" t="s">
        <v>179</v>
      </c>
      <c r="I13" s="9">
        <v>2021</v>
      </c>
      <c r="J13" s="9" t="s">
        <v>109</v>
      </c>
      <c r="K13" s="9" t="s">
        <v>180</v>
      </c>
      <c r="L13" s="9" t="s">
        <v>181</v>
      </c>
      <c r="M13" s="9" t="s">
        <v>182</v>
      </c>
      <c r="N13" s="9" t="s">
        <v>182</v>
      </c>
      <c r="O13" s="9" t="s">
        <v>113</v>
      </c>
      <c r="P13" s="9">
        <v>1</v>
      </c>
      <c r="Q13" s="9"/>
      <c r="R13" s="9"/>
      <c r="S13" s="9" t="s">
        <v>114</v>
      </c>
    </row>
    <row r="14" spans="1:19">
      <c r="A14" s="9" t="s">
        <v>19</v>
      </c>
      <c r="B14" s="9" t="s">
        <v>103</v>
      </c>
      <c r="C14" s="9" t="s">
        <v>22</v>
      </c>
      <c r="D14" s="9" t="s">
        <v>183</v>
      </c>
      <c r="E14" s="9" t="s">
        <v>184</v>
      </c>
      <c r="F14" s="9" t="s">
        <v>185</v>
      </c>
      <c r="G14" s="9" t="s">
        <v>184</v>
      </c>
      <c r="H14" s="9" t="s">
        <v>186</v>
      </c>
      <c r="I14" s="9">
        <v>2021</v>
      </c>
      <c r="J14" s="9" t="s">
        <v>130</v>
      </c>
      <c r="K14" s="9" t="s">
        <v>187</v>
      </c>
      <c r="L14" s="9" t="s">
        <v>188</v>
      </c>
      <c r="M14" s="9" t="s">
        <v>112</v>
      </c>
      <c r="N14" s="9" t="s">
        <v>112</v>
      </c>
      <c r="O14" s="9" t="s">
        <v>113</v>
      </c>
      <c r="P14" s="9">
        <v>1</v>
      </c>
      <c r="Q14" s="9"/>
      <c r="R14" s="9"/>
      <c r="S14" s="9" t="s">
        <v>114</v>
      </c>
    </row>
    <row r="15" spans="1:19">
      <c r="A15" s="9" t="s">
        <v>19</v>
      </c>
      <c r="B15" s="9" t="s">
        <v>103</v>
      </c>
      <c r="C15" s="9" t="s">
        <v>22</v>
      </c>
      <c r="D15" s="9" t="s">
        <v>189</v>
      </c>
      <c r="E15" s="9" t="s">
        <v>190</v>
      </c>
      <c r="F15" s="9" t="s">
        <v>191</v>
      </c>
      <c r="G15" s="9" t="s">
        <v>192</v>
      </c>
      <c r="H15" s="9" t="s">
        <v>193</v>
      </c>
      <c r="I15" s="9">
        <v>2021</v>
      </c>
      <c r="J15" s="9" t="s">
        <v>158</v>
      </c>
      <c r="K15" s="9" t="s">
        <v>187</v>
      </c>
      <c r="L15" s="9" t="s">
        <v>194</v>
      </c>
      <c r="M15" s="9" t="s">
        <v>112</v>
      </c>
      <c r="N15" s="9" t="s">
        <v>112</v>
      </c>
      <c r="O15" s="9" t="s">
        <v>113</v>
      </c>
      <c r="P15" s="9">
        <v>1</v>
      </c>
      <c r="Q15" s="9"/>
      <c r="R15" s="9"/>
      <c r="S15" s="9" t="s">
        <v>114</v>
      </c>
    </row>
    <row r="16" spans="1:19">
      <c r="A16" s="9" t="s">
        <v>19</v>
      </c>
      <c r="B16" s="9" t="s">
        <v>103</v>
      </c>
      <c r="C16" s="9" t="s">
        <v>22</v>
      </c>
      <c r="D16" s="9" t="s">
        <v>195</v>
      </c>
      <c r="E16" s="9" t="s">
        <v>196</v>
      </c>
      <c r="F16" s="9" t="s">
        <v>177</v>
      </c>
      <c r="G16" s="9" t="s">
        <v>197</v>
      </c>
      <c r="H16" s="9" t="s">
        <v>198</v>
      </c>
      <c r="I16" s="9">
        <v>2021</v>
      </c>
      <c r="J16" s="9" t="s">
        <v>109</v>
      </c>
      <c r="K16" s="9" t="s">
        <v>199</v>
      </c>
      <c r="L16" s="9" t="s">
        <v>200</v>
      </c>
      <c r="M16" s="9" t="s">
        <v>112</v>
      </c>
      <c r="N16" s="9" t="s">
        <v>112</v>
      </c>
      <c r="O16" s="9" t="s">
        <v>113</v>
      </c>
      <c r="P16" s="9">
        <v>1</v>
      </c>
      <c r="Q16" s="9"/>
      <c r="R16" s="9"/>
      <c r="S16" s="9" t="s">
        <v>114</v>
      </c>
    </row>
    <row r="17" spans="1:19">
      <c r="A17" s="9" t="s">
        <v>19</v>
      </c>
      <c r="B17" s="9" t="s">
        <v>103</v>
      </c>
      <c r="C17" s="9" t="s">
        <v>22</v>
      </c>
      <c r="D17" s="9" t="s">
        <v>201</v>
      </c>
      <c r="E17" s="9" t="s">
        <v>202</v>
      </c>
      <c r="F17" s="9" t="s">
        <v>203</v>
      </c>
      <c r="G17" s="9" t="s">
        <v>202</v>
      </c>
      <c r="H17" s="9" t="s">
        <v>204</v>
      </c>
      <c r="I17" s="9">
        <v>2021</v>
      </c>
      <c r="J17" s="9" t="s">
        <v>130</v>
      </c>
      <c r="K17" s="9" t="s">
        <v>205</v>
      </c>
      <c r="L17" s="9" t="s">
        <v>206</v>
      </c>
      <c r="M17" s="9" t="s">
        <v>112</v>
      </c>
      <c r="N17" s="9" t="s">
        <v>112</v>
      </c>
      <c r="O17" s="9" t="s">
        <v>113</v>
      </c>
      <c r="P17" s="9">
        <v>1</v>
      </c>
      <c r="Q17" s="9"/>
      <c r="R17" s="9"/>
      <c r="S17" s="9" t="s">
        <v>114</v>
      </c>
    </row>
    <row r="18" spans="1:19">
      <c r="A18" s="9" t="s">
        <v>19</v>
      </c>
      <c r="B18" s="9" t="s">
        <v>103</v>
      </c>
      <c r="C18" s="9" t="s">
        <v>22</v>
      </c>
      <c r="D18" s="9" t="s">
        <v>207</v>
      </c>
      <c r="E18" s="9" t="s">
        <v>208</v>
      </c>
      <c r="F18" s="9" t="s">
        <v>209</v>
      </c>
      <c r="G18" s="9" t="s">
        <v>210</v>
      </c>
      <c r="H18" s="9" t="s">
        <v>211</v>
      </c>
      <c r="I18" s="9">
        <v>2021</v>
      </c>
      <c r="J18" s="9" t="s">
        <v>158</v>
      </c>
      <c r="K18" s="9" t="s">
        <v>205</v>
      </c>
      <c r="L18" s="9" t="s">
        <v>212</v>
      </c>
      <c r="M18" s="9" t="s">
        <v>112</v>
      </c>
      <c r="N18" s="9" t="s">
        <v>112</v>
      </c>
      <c r="O18" s="9" t="s">
        <v>113</v>
      </c>
      <c r="P18" s="9">
        <v>1</v>
      </c>
      <c r="Q18" s="9"/>
      <c r="R18" s="9"/>
      <c r="S18" s="9" t="s">
        <v>114</v>
      </c>
    </row>
    <row r="19" spans="1:19">
      <c r="A19" s="9" t="s">
        <v>19</v>
      </c>
      <c r="B19" s="9" t="s">
        <v>103</v>
      </c>
      <c r="C19" s="9" t="s">
        <v>22</v>
      </c>
      <c r="D19" s="9" t="s">
        <v>213</v>
      </c>
      <c r="E19" s="9" t="s">
        <v>214</v>
      </c>
      <c r="F19" s="9" t="s">
        <v>186</v>
      </c>
      <c r="G19" s="9" t="s">
        <v>214</v>
      </c>
      <c r="H19" s="9" t="s">
        <v>215</v>
      </c>
      <c r="I19" s="9">
        <v>2022</v>
      </c>
      <c r="J19" s="9" t="s">
        <v>130</v>
      </c>
      <c r="K19" s="9" t="s">
        <v>216</v>
      </c>
      <c r="L19" s="9" t="s">
        <v>217</v>
      </c>
      <c r="M19" s="9" t="s">
        <v>112</v>
      </c>
      <c r="N19" s="9" t="s">
        <v>112</v>
      </c>
      <c r="O19" s="9" t="s">
        <v>113</v>
      </c>
      <c r="P19" s="9">
        <v>1</v>
      </c>
      <c r="Q19" s="9"/>
      <c r="R19" s="9"/>
      <c r="S19" s="9" t="s">
        <v>114</v>
      </c>
    </row>
    <row r="20" spans="1:19">
      <c r="A20" s="9" t="s">
        <v>19</v>
      </c>
      <c r="B20" s="9" t="s">
        <v>103</v>
      </c>
      <c r="C20" s="9" t="s">
        <v>22</v>
      </c>
      <c r="D20" s="9" t="s">
        <v>218</v>
      </c>
      <c r="E20" s="9" t="s">
        <v>219</v>
      </c>
      <c r="F20" s="9" t="s">
        <v>220</v>
      </c>
      <c r="G20" s="9" t="s">
        <v>219</v>
      </c>
      <c r="H20" s="9" t="s">
        <v>215</v>
      </c>
      <c r="I20" s="9">
        <v>2022</v>
      </c>
      <c r="J20" s="9" t="s">
        <v>130</v>
      </c>
      <c r="K20" s="9" t="s">
        <v>221</v>
      </c>
      <c r="L20" s="9" t="s">
        <v>222</v>
      </c>
      <c r="M20" s="9" t="s">
        <v>112</v>
      </c>
      <c r="N20" s="9" t="s">
        <v>112</v>
      </c>
      <c r="O20" s="9" t="s">
        <v>113</v>
      </c>
      <c r="P20" s="9">
        <v>1</v>
      </c>
      <c r="Q20" s="9"/>
      <c r="R20" s="9"/>
      <c r="S20" s="9" t="s">
        <v>114</v>
      </c>
    </row>
    <row r="21" spans="1:19">
      <c r="A21" s="9" t="s">
        <v>19</v>
      </c>
      <c r="B21" s="9" t="s">
        <v>103</v>
      </c>
      <c r="C21" s="9" t="s">
        <v>22</v>
      </c>
      <c r="D21" s="9" t="s">
        <v>223</v>
      </c>
      <c r="E21" s="9" t="s">
        <v>224</v>
      </c>
      <c r="F21" s="9" t="s">
        <v>225</v>
      </c>
      <c r="G21" s="9" t="s">
        <v>224</v>
      </c>
      <c r="H21" s="9" t="s">
        <v>215</v>
      </c>
      <c r="I21" s="9">
        <v>2022</v>
      </c>
      <c r="J21" s="9" t="s">
        <v>130</v>
      </c>
      <c r="K21" s="9" t="s">
        <v>226</v>
      </c>
      <c r="L21" s="9" t="s">
        <v>227</v>
      </c>
      <c r="M21" s="9" t="s">
        <v>112</v>
      </c>
      <c r="N21" s="9" t="s">
        <v>112</v>
      </c>
      <c r="O21" s="9" t="s">
        <v>113</v>
      </c>
      <c r="P21" s="9">
        <v>1</v>
      </c>
      <c r="Q21" s="9"/>
      <c r="R21" s="9"/>
      <c r="S21" s="9" t="s">
        <v>114</v>
      </c>
    </row>
    <row r="22" spans="1:19">
      <c r="A22" s="9" t="s">
        <v>19</v>
      </c>
      <c r="B22" s="9" t="s">
        <v>103</v>
      </c>
      <c r="C22" s="9" t="s">
        <v>22</v>
      </c>
      <c r="D22" s="9" t="s">
        <v>228</v>
      </c>
      <c r="E22" s="9" t="s">
        <v>229</v>
      </c>
      <c r="F22" s="9" t="s">
        <v>230</v>
      </c>
      <c r="G22" s="9" t="s">
        <v>229</v>
      </c>
      <c r="H22" s="9" t="s">
        <v>215</v>
      </c>
      <c r="I22" s="9">
        <v>2022</v>
      </c>
      <c r="J22" s="9" t="s">
        <v>130</v>
      </c>
      <c r="K22" s="9" t="s">
        <v>231</v>
      </c>
      <c r="L22" s="9" t="s">
        <v>232</v>
      </c>
      <c r="M22" s="9" t="s">
        <v>112</v>
      </c>
      <c r="N22" s="9" t="s">
        <v>112</v>
      </c>
      <c r="O22" s="9" t="s">
        <v>113</v>
      </c>
      <c r="P22" s="9">
        <v>1</v>
      </c>
      <c r="Q22" s="9"/>
      <c r="R22" s="9"/>
      <c r="S22" s="9" t="s">
        <v>114</v>
      </c>
    </row>
    <row r="23" spans="1:19">
      <c r="A23" s="9" t="s">
        <v>19</v>
      </c>
      <c r="B23" s="9" t="s">
        <v>103</v>
      </c>
      <c r="C23" s="9" t="s">
        <v>22</v>
      </c>
      <c r="D23" s="9" t="s">
        <v>233</v>
      </c>
      <c r="E23" s="9" t="s">
        <v>234</v>
      </c>
      <c r="F23" s="9" t="s">
        <v>235</v>
      </c>
      <c r="G23" s="9" t="s">
        <v>234</v>
      </c>
      <c r="H23" s="9" t="s">
        <v>215</v>
      </c>
      <c r="I23" s="9">
        <v>2022</v>
      </c>
      <c r="J23" s="9" t="s">
        <v>130</v>
      </c>
      <c r="K23" s="9" t="s">
        <v>236</v>
      </c>
      <c r="L23" s="9" t="s">
        <v>237</v>
      </c>
      <c r="M23" s="9" t="s">
        <v>112</v>
      </c>
      <c r="N23" s="9" t="s">
        <v>112</v>
      </c>
      <c r="O23" s="9" t="s">
        <v>113</v>
      </c>
      <c r="P23" s="9">
        <v>1</v>
      </c>
      <c r="Q23" s="9"/>
      <c r="R23" s="9"/>
      <c r="S23" s="9" t="s">
        <v>114</v>
      </c>
    </row>
    <row r="24" spans="1:19">
      <c r="A24" s="9" t="s">
        <v>19</v>
      </c>
      <c r="B24" s="9" t="s">
        <v>103</v>
      </c>
      <c r="C24" s="9" t="s">
        <v>22</v>
      </c>
      <c r="D24" s="9" t="s">
        <v>238</v>
      </c>
      <c r="E24" s="9" t="s">
        <v>239</v>
      </c>
      <c r="F24" s="9" t="s">
        <v>240</v>
      </c>
      <c r="G24" s="9" t="s">
        <v>239</v>
      </c>
      <c r="H24" s="9" t="s">
        <v>215</v>
      </c>
      <c r="I24" s="9">
        <v>2022</v>
      </c>
      <c r="J24" s="9" t="s">
        <v>130</v>
      </c>
      <c r="K24" s="9" t="s">
        <v>241</v>
      </c>
      <c r="L24" s="9" t="s">
        <v>242</v>
      </c>
      <c r="M24" s="9" t="s">
        <v>112</v>
      </c>
      <c r="N24" s="9" t="s">
        <v>112</v>
      </c>
      <c r="O24" s="9" t="s">
        <v>113</v>
      </c>
      <c r="P24" s="9">
        <v>1</v>
      </c>
      <c r="Q24" s="9"/>
      <c r="R24" s="9"/>
      <c r="S24" s="9" t="s">
        <v>114</v>
      </c>
    </row>
    <row r="25" spans="1:19">
      <c r="A25" s="9" t="s">
        <v>19</v>
      </c>
      <c r="B25" s="9" t="s">
        <v>103</v>
      </c>
      <c r="C25" s="9" t="s">
        <v>22</v>
      </c>
      <c r="D25" s="9" t="s">
        <v>243</v>
      </c>
      <c r="E25" s="9" t="s">
        <v>244</v>
      </c>
      <c r="F25" s="9" t="s">
        <v>245</v>
      </c>
      <c r="G25" s="9" t="s">
        <v>244</v>
      </c>
      <c r="H25" s="9" t="s">
        <v>215</v>
      </c>
      <c r="I25" s="9">
        <v>2022</v>
      </c>
      <c r="J25" s="9" t="s">
        <v>130</v>
      </c>
      <c r="K25" s="9" t="s">
        <v>246</v>
      </c>
      <c r="L25" s="9" t="s">
        <v>247</v>
      </c>
      <c r="M25" s="9" t="s">
        <v>112</v>
      </c>
      <c r="N25" s="9" t="s">
        <v>112</v>
      </c>
      <c r="O25" s="9" t="s">
        <v>113</v>
      </c>
      <c r="P25" s="9">
        <v>1</v>
      </c>
      <c r="Q25" s="9"/>
      <c r="R25" s="9"/>
      <c r="S25" s="9" t="s">
        <v>114</v>
      </c>
    </row>
    <row r="26" spans="1:19">
      <c r="A26" s="9" t="s">
        <v>19</v>
      </c>
      <c r="B26" s="9" t="s">
        <v>103</v>
      </c>
      <c r="C26" s="9" t="s">
        <v>22</v>
      </c>
      <c r="D26" s="9" t="s">
        <v>248</v>
      </c>
      <c r="E26" s="9" t="s">
        <v>249</v>
      </c>
      <c r="F26" s="9" t="s">
        <v>250</v>
      </c>
      <c r="G26" s="9" t="s">
        <v>249</v>
      </c>
      <c r="H26" s="9" t="s">
        <v>215</v>
      </c>
      <c r="I26" s="9">
        <v>2022</v>
      </c>
      <c r="J26" s="9" t="s">
        <v>130</v>
      </c>
      <c r="K26" s="9" t="s">
        <v>251</v>
      </c>
      <c r="L26" s="9" t="s">
        <v>252</v>
      </c>
      <c r="M26" s="9" t="s">
        <v>112</v>
      </c>
      <c r="N26" s="9" t="s">
        <v>112</v>
      </c>
      <c r="O26" s="9" t="s">
        <v>113</v>
      </c>
      <c r="P26" s="9">
        <v>1</v>
      </c>
      <c r="Q26" s="9"/>
      <c r="R26" s="9"/>
      <c r="S26" s="9" t="s">
        <v>114</v>
      </c>
    </row>
    <row r="27" spans="1:19">
      <c r="A27" s="9" t="s">
        <v>19</v>
      </c>
      <c r="B27" s="9" t="s">
        <v>103</v>
      </c>
      <c r="C27" s="9" t="s">
        <v>22</v>
      </c>
      <c r="D27" s="9" t="s">
        <v>253</v>
      </c>
      <c r="E27" s="9" t="s">
        <v>254</v>
      </c>
      <c r="F27" s="9" t="s">
        <v>250</v>
      </c>
      <c r="G27" s="9" t="s">
        <v>254</v>
      </c>
      <c r="H27" s="9" t="s">
        <v>215</v>
      </c>
      <c r="I27" s="9">
        <v>2022</v>
      </c>
      <c r="J27" s="9" t="s">
        <v>130</v>
      </c>
      <c r="K27" s="9" t="s">
        <v>255</v>
      </c>
      <c r="L27" s="9" t="s">
        <v>256</v>
      </c>
      <c r="M27" s="9" t="s">
        <v>112</v>
      </c>
      <c r="N27" s="9" t="s">
        <v>112</v>
      </c>
      <c r="O27" s="9" t="s">
        <v>113</v>
      </c>
      <c r="P27" s="9">
        <v>1</v>
      </c>
      <c r="Q27" s="9"/>
      <c r="R27" s="9"/>
      <c r="S27" s="9" t="s">
        <v>114</v>
      </c>
    </row>
    <row r="28" spans="1:19">
      <c r="A28" s="9" t="s">
        <v>19</v>
      </c>
      <c r="B28" s="9" t="s">
        <v>103</v>
      </c>
      <c r="C28" s="9" t="s">
        <v>22</v>
      </c>
      <c r="D28" s="9" t="s">
        <v>257</v>
      </c>
      <c r="E28" s="9" t="s">
        <v>258</v>
      </c>
      <c r="F28" s="9" t="s">
        <v>245</v>
      </c>
      <c r="G28" s="9" t="s">
        <v>258</v>
      </c>
      <c r="H28" s="9" t="s">
        <v>215</v>
      </c>
      <c r="I28" s="9">
        <v>2022</v>
      </c>
      <c r="J28" s="9" t="s">
        <v>130</v>
      </c>
      <c r="K28" s="9" t="s">
        <v>259</v>
      </c>
      <c r="L28" s="9" t="s">
        <v>260</v>
      </c>
      <c r="M28" s="9" t="s">
        <v>112</v>
      </c>
      <c r="N28" s="9" t="s">
        <v>112</v>
      </c>
      <c r="O28" s="9" t="s">
        <v>113</v>
      </c>
      <c r="P28" s="9">
        <v>1</v>
      </c>
      <c r="Q28" s="9"/>
      <c r="R28" s="9"/>
      <c r="S28" s="9" t="s">
        <v>114</v>
      </c>
    </row>
    <row r="29" spans="1:19">
      <c r="A29" s="9" t="s">
        <v>19</v>
      </c>
      <c r="B29" s="9" t="s">
        <v>103</v>
      </c>
      <c r="C29" s="9" t="s">
        <v>22</v>
      </c>
      <c r="D29" s="9" t="s">
        <v>261</v>
      </c>
      <c r="E29" s="9" t="s">
        <v>262</v>
      </c>
      <c r="F29" s="9" t="s">
        <v>263</v>
      </c>
      <c r="G29" s="9" t="s">
        <v>262</v>
      </c>
      <c r="H29" s="9" t="s">
        <v>215</v>
      </c>
      <c r="I29" s="9">
        <v>2022</v>
      </c>
      <c r="J29" s="9" t="s">
        <v>130</v>
      </c>
      <c r="K29" s="9" t="s">
        <v>264</v>
      </c>
      <c r="L29" s="9" t="s">
        <v>265</v>
      </c>
      <c r="M29" s="9" t="s">
        <v>112</v>
      </c>
      <c r="N29" s="9" t="s">
        <v>112</v>
      </c>
      <c r="O29" s="9" t="s">
        <v>113</v>
      </c>
      <c r="P29" s="9">
        <v>1</v>
      </c>
      <c r="Q29" s="9"/>
      <c r="R29" s="9"/>
      <c r="S29" s="9" t="s">
        <v>114</v>
      </c>
    </row>
    <row r="30" spans="1:19">
      <c r="A30" s="9" t="s">
        <v>19</v>
      </c>
      <c r="B30" s="9" t="s">
        <v>103</v>
      </c>
      <c r="C30" s="9" t="s">
        <v>22</v>
      </c>
      <c r="D30" s="9" t="s">
        <v>266</v>
      </c>
      <c r="E30" s="9" t="s">
        <v>267</v>
      </c>
      <c r="F30" s="9" t="s">
        <v>268</v>
      </c>
      <c r="G30" s="9" t="s">
        <v>267</v>
      </c>
      <c r="H30" s="9" t="s">
        <v>269</v>
      </c>
      <c r="I30" s="9">
        <v>2022</v>
      </c>
      <c r="J30" s="9" t="s">
        <v>130</v>
      </c>
      <c r="K30" s="9" t="s">
        <v>270</v>
      </c>
      <c r="L30" s="9" t="s">
        <v>252</v>
      </c>
      <c r="M30" s="9" t="s">
        <v>112</v>
      </c>
      <c r="N30" s="9" t="s">
        <v>112</v>
      </c>
      <c r="O30" s="9" t="s">
        <v>113</v>
      </c>
      <c r="P30" s="9">
        <v>1</v>
      </c>
      <c r="Q30" s="9"/>
      <c r="R30" s="9"/>
      <c r="S30" s="9" t="s">
        <v>114</v>
      </c>
    </row>
    <row r="31" spans="1:19">
      <c r="A31" s="9" t="s">
        <v>19</v>
      </c>
      <c r="B31" s="9" t="s">
        <v>103</v>
      </c>
      <c r="C31" s="9" t="s">
        <v>22</v>
      </c>
      <c r="D31" s="9" t="s">
        <v>271</v>
      </c>
      <c r="E31" s="9" t="s">
        <v>272</v>
      </c>
      <c r="F31" s="9" t="s">
        <v>273</v>
      </c>
      <c r="G31" s="9" t="s">
        <v>272</v>
      </c>
      <c r="H31" s="9" t="s">
        <v>269</v>
      </c>
      <c r="I31" s="9">
        <v>2022</v>
      </c>
      <c r="J31" s="9" t="s">
        <v>130</v>
      </c>
      <c r="K31" s="9" t="s">
        <v>274</v>
      </c>
      <c r="L31" s="9" t="s">
        <v>275</v>
      </c>
      <c r="M31" s="9" t="s">
        <v>112</v>
      </c>
      <c r="N31" s="9" t="s">
        <v>112</v>
      </c>
      <c r="O31" s="9" t="s">
        <v>113</v>
      </c>
      <c r="P31" s="9">
        <v>1</v>
      </c>
      <c r="Q31" s="9"/>
      <c r="R31" s="9"/>
      <c r="S31" s="9" t="s">
        <v>114</v>
      </c>
    </row>
    <row r="32" spans="1:19">
      <c r="A32" s="9" t="s">
        <v>19</v>
      </c>
      <c r="B32" s="9" t="s">
        <v>103</v>
      </c>
      <c r="C32" s="9" t="s">
        <v>22</v>
      </c>
      <c r="D32" s="9" t="s">
        <v>276</v>
      </c>
      <c r="E32" s="9" t="s">
        <v>277</v>
      </c>
      <c r="F32" s="9" t="s">
        <v>278</v>
      </c>
      <c r="G32" s="9" t="s">
        <v>277</v>
      </c>
      <c r="H32" s="9" t="s">
        <v>279</v>
      </c>
      <c r="I32" s="9">
        <v>2022</v>
      </c>
      <c r="J32" s="9" t="s">
        <v>130</v>
      </c>
      <c r="K32" s="9" t="s">
        <v>280</v>
      </c>
      <c r="L32" s="9" t="s">
        <v>281</v>
      </c>
      <c r="M32" s="9" t="s">
        <v>112</v>
      </c>
      <c r="N32" s="9" t="s">
        <v>112</v>
      </c>
      <c r="O32" s="9" t="s">
        <v>113</v>
      </c>
      <c r="P32" s="9">
        <v>1</v>
      </c>
      <c r="Q32" s="9"/>
      <c r="R32" s="9"/>
      <c r="S32" s="9" t="s">
        <v>114</v>
      </c>
    </row>
    <row r="33" spans="1:19">
      <c r="A33" s="9" t="s">
        <v>19</v>
      </c>
      <c r="B33" s="9" t="s">
        <v>103</v>
      </c>
      <c r="C33" s="9" t="s">
        <v>22</v>
      </c>
      <c r="D33" s="9" t="s">
        <v>282</v>
      </c>
      <c r="E33" s="9" t="s">
        <v>283</v>
      </c>
      <c r="F33" s="9" t="s">
        <v>284</v>
      </c>
      <c r="G33" s="9" t="s">
        <v>283</v>
      </c>
      <c r="H33" s="9" t="s">
        <v>285</v>
      </c>
      <c r="I33" s="9">
        <v>2022</v>
      </c>
      <c r="J33" s="9" t="s">
        <v>130</v>
      </c>
      <c r="K33" s="9" t="s">
        <v>286</v>
      </c>
      <c r="L33" s="9" t="s">
        <v>287</v>
      </c>
      <c r="M33" s="9" t="s">
        <v>112</v>
      </c>
      <c r="N33" s="9" t="s">
        <v>112</v>
      </c>
      <c r="O33" s="9" t="s">
        <v>113</v>
      </c>
      <c r="P33" s="9">
        <v>1</v>
      </c>
      <c r="Q33" s="9"/>
      <c r="R33" s="9"/>
      <c r="S33" s="9" t="s">
        <v>114</v>
      </c>
    </row>
    <row r="34" spans="1:19">
      <c r="A34" s="9" t="s">
        <v>19</v>
      </c>
      <c r="B34" s="9" t="s">
        <v>103</v>
      </c>
      <c r="C34" s="9" t="s">
        <v>22</v>
      </c>
      <c r="D34" s="9" t="s">
        <v>288</v>
      </c>
      <c r="E34" s="9" t="s">
        <v>289</v>
      </c>
      <c r="F34" s="9" t="s">
        <v>290</v>
      </c>
      <c r="G34" s="9" t="s">
        <v>289</v>
      </c>
      <c r="H34" s="9" t="s">
        <v>285</v>
      </c>
      <c r="I34" s="9">
        <v>2022</v>
      </c>
      <c r="J34" s="9" t="s">
        <v>130</v>
      </c>
      <c r="K34" s="9" t="s">
        <v>291</v>
      </c>
      <c r="L34" s="9" t="s">
        <v>292</v>
      </c>
      <c r="M34" s="9" t="s">
        <v>293</v>
      </c>
      <c r="N34" s="9" t="s">
        <v>293</v>
      </c>
      <c r="O34" s="9" t="s">
        <v>113</v>
      </c>
      <c r="P34" s="9">
        <v>1</v>
      </c>
      <c r="Q34" s="9"/>
      <c r="R34" s="9"/>
      <c r="S34" s="9" t="s">
        <v>114</v>
      </c>
    </row>
    <row r="35" spans="1:19">
      <c r="A35" s="9" t="s">
        <v>19</v>
      </c>
      <c r="B35" s="9" t="s">
        <v>103</v>
      </c>
      <c r="C35" s="9" t="s">
        <v>22</v>
      </c>
      <c r="D35" s="9" t="s">
        <v>294</v>
      </c>
      <c r="E35" s="9" t="s">
        <v>295</v>
      </c>
      <c r="F35" s="9" t="s">
        <v>296</v>
      </c>
      <c r="G35" s="9" t="s">
        <v>295</v>
      </c>
      <c r="H35" s="9" t="s">
        <v>297</v>
      </c>
      <c r="I35" s="9">
        <v>2022</v>
      </c>
      <c r="J35" s="9" t="s">
        <v>130</v>
      </c>
      <c r="K35" s="9" t="s">
        <v>298</v>
      </c>
      <c r="L35" s="9" t="s">
        <v>299</v>
      </c>
      <c r="M35" s="9" t="s">
        <v>293</v>
      </c>
      <c r="N35" s="9" t="s">
        <v>293</v>
      </c>
      <c r="O35" s="9" t="s">
        <v>113</v>
      </c>
      <c r="P35" s="9">
        <v>1</v>
      </c>
      <c r="Q35" s="9"/>
      <c r="R35" s="9"/>
      <c r="S35" s="9" t="s">
        <v>114</v>
      </c>
    </row>
    <row r="36" spans="1:19">
      <c r="A36" s="9" t="s">
        <v>19</v>
      </c>
      <c r="B36" s="9" t="s">
        <v>103</v>
      </c>
      <c r="C36" s="9" t="s">
        <v>22</v>
      </c>
      <c r="D36" s="9" t="s">
        <v>300</v>
      </c>
      <c r="E36" s="9" t="s">
        <v>301</v>
      </c>
      <c r="F36" s="9" t="s">
        <v>296</v>
      </c>
      <c r="G36" s="9" t="s">
        <v>301</v>
      </c>
      <c r="H36" s="9" t="s">
        <v>297</v>
      </c>
      <c r="I36" s="9">
        <v>2022</v>
      </c>
      <c r="J36" s="9" t="s">
        <v>130</v>
      </c>
      <c r="K36" s="9" t="s">
        <v>302</v>
      </c>
      <c r="L36" s="9" t="s">
        <v>303</v>
      </c>
      <c r="M36" s="9" t="s">
        <v>293</v>
      </c>
      <c r="N36" s="9" t="s">
        <v>293</v>
      </c>
      <c r="O36" s="9" t="s">
        <v>113</v>
      </c>
      <c r="P36" s="9">
        <v>1</v>
      </c>
      <c r="Q36" s="9"/>
      <c r="R36" s="9"/>
      <c r="S36" s="9" t="s">
        <v>114</v>
      </c>
    </row>
    <row r="37" spans="1:19">
      <c r="A37" s="9" t="s">
        <v>19</v>
      </c>
      <c r="B37" s="9" t="s">
        <v>103</v>
      </c>
      <c r="C37" s="9" t="s">
        <v>22</v>
      </c>
      <c r="D37" s="9" t="s">
        <v>304</v>
      </c>
      <c r="E37" s="9" t="s">
        <v>305</v>
      </c>
      <c r="F37" s="9" t="s">
        <v>306</v>
      </c>
      <c r="G37" s="9" t="s">
        <v>305</v>
      </c>
      <c r="H37" s="9" t="s">
        <v>307</v>
      </c>
      <c r="I37" s="9">
        <v>2022</v>
      </c>
      <c r="J37" s="9" t="s">
        <v>130</v>
      </c>
      <c r="K37" s="9" t="s">
        <v>308</v>
      </c>
      <c r="L37" s="9" t="s">
        <v>309</v>
      </c>
      <c r="M37" s="9" t="s">
        <v>310</v>
      </c>
      <c r="N37" s="9" t="s">
        <v>310</v>
      </c>
      <c r="O37" s="9" t="s">
        <v>113</v>
      </c>
      <c r="P37" s="9">
        <v>1</v>
      </c>
      <c r="Q37" s="9"/>
      <c r="R37" s="9"/>
      <c r="S37" s="9" t="s">
        <v>114</v>
      </c>
    </row>
    <row r="38" spans="1:19">
      <c r="A38" s="9" t="s">
        <v>19</v>
      </c>
      <c r="B38" s="9" t="s">
        <v>103</v>
      </c>
      <c r="C38" s="9" t="s">
        <v>22</v>
      </c>
      <c r="D38" s="9" t="s">
        <v>311</v>
      </c>
      <c r="E38" s="9" t="s">
        <v>312</v>
      </c>
      <c r="F38" s="9" t="s">
        <v>313</v>
      </c>
      <c r="G38" s="9" t="s">
        <v>312</v>
      </c>
      <c r="H38" s="9" t="s">
        <v>314</v>
      </c>
      <c r="I38" s="9">
        <v>2022</v>
      </c>
      <c r="J38" s="9" t="s">
        <v>130</v>
      </c>
      <c r="K38" s="9" t="s">
        <v>315</v>
      </c>
      <c r="L38" s="9" t="s">
        <v>316</v>
      </c>
      <c r="M38" s="9" t="s">
        <v>112</v>
      </c>
      <c r="N38" s="9" t="s">
        <v>112</v>
      </c>
      <c r="O38" s="9" t="s">
        <v>113</v>
      </c>
      <c r="P38" s="9">
        <v>1</v>
      </c>
      <c r="Q38" s="9"/>
      <c r="R38" s="9"/>
      <c r="S38" s="9" t="s">
        <v>114</v>
      </c>
    </row>
    <row r="39" spans="1:19">
      <c r="A39" s="9" t="s">
        <v>19</v>
      </c>
      <c r="B39" s="9" t="s">
        <v>103</v>
      </c>
      <c r="C39" s="9" t="s">
        <v>22</v>
      </c>
      <c r="D39" s="9" t="s">
        <v>317</v>
      </c>
      <c r="E39" s="9" t="s">
        <v>318</v>
      </c>
      <c r="F39" s="9" t="s">
        <v>313</v>
      </c>
      <c r="G39" s="9" t="s">
        <v>318</v>
      </c>
      <c r="H39" s="9" t="s">
        <v>314</v>
      </c>
      <c r="I39" s="9">
        <v>2022</v>
      </c>
      <c r="J39" s="9" t="s">
        <v>130</v>
      </c>
      <c r="K39" s="9" t="s">
        <v>319</v>
      </c>
      <c r="L39" s="9" t="s">
        <v>320</v>
      </c>
      <c r="M39" s="9" t="s">
        <v>112</v>
      </c>
      <c r="N39" s="9" t="s">
        <v>112</v>
      </c>
      <c r="O39" s="9" t="s">
        <v>113</v>
      </c>
      <c r="P39" s="9">
        <v>1</v>
      </c>
      <c r="Q39" s="9"/>
      <c r="R39" s="9"/>
      <c r="S39" s="9" t="s">
        <v>114</v>
      </c>
    </row>
    <row r="40" spans="1:19">
      <c r="A40" s="9" t="s">
        <v>19</v>
      </c>
      <c r="B40" s="9" t="s">
        <v>103</v>
      </c>
      <c r="C40" s="9" t="s">
        <v>22</v>
      </c>
      <c r="D40" s="9" t="s">
        <v>321</v>
      </c>
      <c r="E40" s="9" t="s">
        <v>322</v>
      </c>
      <c r="F40" s="9" t="s">
        <v>313</v>
      </c>
      <c r="G40" s="9" t="s">
        <v>322</v>
      </c>
      <c r="H40" s="9" t="s">
        <v>314</v>
      </c>
      <c r="I40" s="9">
        <v>2022</v>
      </c>
      <c r="J40" s="9" t="s">
        <v>130</v>
      </c>
      <c r="K40" s="9" t="s">
        <v>323</v>
      </c>
      <c r="L40" s="9" t="s">
        <v>324</v>
      </c>
      <c r="M40" s="9" t="s">
        <v>112</v>
      </c>
      <c r="N40" s="9" t="s">
        <v>112</v>
      </c>
      <c r="O40" s="9" t="s">
        <v>113</v>
      </c>
      <c r="P40" s="9">
        <v>1</v>
      </c>
      <c r="Q40" s="9"/>
      <c r="R40" s="9"/>
      <c r="S40" s="9" t="s">
        <v>114</v>
      </c>
    </row>
    <row r="41" spans="1:19">
      <c r="A41" s="9" t="s">
        <v>19</v>
      </c>
      <c r="B41" s="9" t="s">
        <v>103</v>
      </c>
      <c r="C41" s="9" t="s">
        <v>22</v>
      </c>
      <c r="D41" s="9" t="s">
        <v>325</v>
      </c>
      <c r="E41" s="9" t="s">
        <v>326</v>
      </c>
      <c r="F41" s="9" t="s">
        <v>313</v>
      </c>
      <c r="G41" s="9" t="s">
        <v>326</v>
      </c>
      <c r="H41" s="9" t="s">
        <v>314</v>
      </c>
      <c r="I41" s="9">
        <v>2022</v>
      </c>
      <c r="J41" s="9" t="s">
        <v>130</v>
      </c>
      <c r="K41" s="9" t="s">
        <v>319</v>
      </c>
      <c r="L41" s="9" t="s">
        <v>327</v>
      </c>
      <c r="M41" s="9" t="s">
        <v>112</v>
      </c>
      <c r="N41" s="9" t="s">
        <v>112</v>
      </c>
      <c r="O41" s="9" t="s">
        <v>113</v>
      </c>
      <c r="P41" s="9">
        <v>1</v>
      </c>
      <c r="Q41" s="9"/>
      <c r="R41" s="9"/>
      <c r="S41" s="9" t="s">
        <v>114</v>
      </c>
    </row>
    <row r="42" spans="1:19">
      <c r="A42" s="9" t="s">
        <v>19</v>
      </c>
      <c r="B42" s="9" t="s">
        <v>103</v>
      </c>
      <c r="C42" s="9" t="s">
        <v>22</v>
      </c>
      <c r="D42" s="9" t="s">
        <v>328</v>
      </c>
      <c r="E42" s="9" t="s">
        <v>329</v>
      </c>
      <c r="F42" s="9" t="s">
        <v>330</v>
      </c>
      <c r="G42" s="9" t="s">
        <v>329</v>
      </c>
      <c r="H42" s="9" t="s">
        <v>314</v>
      </c>
      <c r="I42" s="9">
        <v>2022</v>
      </c>
      <c r="J42" s="9" t="s">
        <v>130</v>
      </c>
      <c r="K42" s="9" t="s">
        <v>331</v>
      </c>
      <c r="L42" s="9" t="s">
        <v>252</v>
      </c>
      <c r="M42" s="9" t="s">
        <v>112</v>
      </c>
      <c r="N42" s="9" t="s">
        <v>112</v>
      </c>
      <c r="O42" s="9" t="s">
        <v>113</v>
      </c>
      <c r="P42" s="9">
        <v>1</v>
      </c>
      <c r="Q42" s="9"/>
      <c r="R42" s="9"/>
      <c r="S42" s="9" t="s">
        <v>114</v>
      </c>
    </row>
    <row r="43" spans="1:19">
      <c r="A43" s="9" t="s">
        <v>19</v>
      </c>
      <c r="B43" s="9" t="s">
        <v>103</v>
      </c>
      <c r="C43" s="9" t="s">
        <v>22</v>
      </c>
      <c r="D43" s="9" t="s">
        <v>332</v>
      </c>
      <c r="E43" s="9" t="s">
        <v>333</v>
      </c>
      <c r="F43" s="9" t="s">
        <v>334</v>
      </c>
      <c r="G43" s="9" t="s">
        <v>333</v>
      </c>
      <c r="H43" s="9" t="s">
        <v>335</v>
      </c>
      <c r="I43" s="9">
        <v>2022</v>
      </c>
      <c r="J43" s="9" t="s">
        <v>130</v>
      </c>
      <c r="K43" s="9" t="s">
        <v>336</v>
      </c>
      <c r="L43" s="9" t="s">
        <v>337</v>
      </c>
      <c r="M43" s="9" t="s">
        <v>112</v>
      </c>
      <c r="N43" s="9" t="s">
        <v>112</v>
      </c>
      <c r="O43" s="9" t="s">
        <v>113</v>
      </c>
      <c r="P43" s="9">
        <v>1</v>
      </c>
      <c r="Q43" s="9"/>
      <c r="R43" s="9"/>
      <c r="S43" s="9" t="s">
        <v>114</v>
      </c>
    </row>
    <row r="44" spans="1:19">
      <c r="A44" s="9" t="s">
        <v>19</v>
      </c>
      <c r="B44" s="9" t="s">
        <v>103</v>
      </c>
      <c r="C44" s="9" t="s">
        <v>22</v>
      </c>
      <c r="D44" s="9" t="s">
        <v>338</v>
      </c>
      <c r="E44" s="9" t="s">
        <v>339</v>
      </c>
      <c r="F44" s="9" t="s">
        <v>340</v>
      </c>
      <c r="G44" s="9" t="s">
        <v>339</v>
      </c>
      <c r="H44" s="9" t="s">
        <v>335</v>
      </c>
      <c r="I44" s="9">
        <v>2022</v>
      </c>
      <c r="J44" s="9" t="s">
        <v>130</v>
      </c>
      <c r="K44" s="9" t="s">
        <v>341</v>
      </c>
      <c r="L44" s="9" t="s">
        <v>342</v>
      </c>
      <c r="M44" s="9" t="s">
        <v>112</v>
      </c>
      <c r="N44" s="9" t="s">
        <v>112</v>
      </c>
      <c r="O44" s="9" t="s">
        <v>113</v>
      </c>
      <c r="P44" s="9">
        <v>1</v>
      </c>
      <c r="Q44" s="9"/>
      <c r="R44" s="9"/>
      <c r="S44" s="9" t="s">
        <v>114</v>
      </c>
    </row>
    <row r="45" spans="1:19">
      <c r="A45" s="9" t="s">
        <v>19</v>
      </c>
      <c r="B45" s="9" t="s">
        <v>103</v>
      </c>
      <c r="C45" s="9" t="s">
        <v>22</v>
      </c>
      <c r="D45" s="9" t="s">
        <v>343</v>
      </c>
      <c r="E45" s="9" t="s">
        <v>344</v>
      </c>
      <c r="F45" s="9" t="s">
        <v>307</v>
      </c>
      <c r="G45" s="9" t="s">
        <v>344</v>
      </c>
      <c r="H45" s="9" t="s">
        <v>335</v>
      </c>
      <c r="I45" s="9">
        <v>2022</v>
      </c>
      <c r="J45" s="9" t="s">
        <v>130</v>
      </c>
      <c r="K45" s="9" t="s">
        <v>345</v>
      </c>
      <c r="L45" s="9" t="s">
        <v>346</v>
      </c>
      <c r="M45" s="9" t="s">
        <v>112</v>
      </c>
      <c r="N45" s="9" t="s">
        <v>112</v>
      </c>
      <c r="O45" s="9" t="s">
        <v>113</v>
      </c>
      <c r="P45" s="9">
        <v>1</v>
      </c>
      <c r="Q45" s="9"/>
      <c r="R45" s="9"/>
      <c r="S45" s="9" t="s">
        <v>114</v>
      </c>
    </row>
    <row r="46" spans="1:19">
      <c r="A46" s="9" t="s">
        <v>19</v>
      </c>
      <c r="B46" s="9" t="s">
        <v>103</v>
      </c>
      <c r="C46" s="9" t="s">
        <v>22</v>
      </c>
      <c r="D46" s="9" t="s">
        <v>347</v>
      </c>
      <c r="E46" s="9" t="s">
        <v>348</v>
      </c>
      <c r="F46" s="9" t="s">
        <v>155</v>
      </c>
      <c r="G46" s="9" t="s">
        <v>349</v>
      </c>
      <c r="H46" s="9" t="s">
        <v>350</v>
      </c>
      <c r="I46" s="9">
        <v>2022</v>
      </c>
      <c r="J46" s="9" t="s">
        <v>351</v>
      </c>
      <c r="K46" s="9" t="s">
        <v>159</v>
      </c>
      <c r="L46" s="9" t="s">
        <v>160</v>
      </c>
      <c r="M46" s="9" t="s">
        <v>352</v>
      </c>
      <c r="N46" s="9" t="s">
        <v>352</v>
      </c>
      <c r="O46" s="9" t="s">
        <v>113</v>
      </c>
      <c r="P46" s="9">
        <v>1</v>
      </c>
      <c r="Q46" s="9"/>
      <c r="R46" s="9"/>
      <c r="S46" s="9" t="s">
        <v>114</v>
      </c>
    </row>
    <row r="47" spans="1:19">
      <c r="A47" s="9" t="s">
        <v>19</v>
      </c>
      <c r="B47" s="9" t="s">
        <v>103</v>
      </c>
      <c r="C47" s="9" t="s">
        <v>22</v>
      </c>
      <c r="D47" s="9" t="s">
        <v>353</v>
      </c>
      <c r="E47" s="9" t="s">
        <v>354</v>
      </c>
      <c r="F47" s="9" t="s">
        <v>164</v>
      </c>
      <c r="G47" s="9" t="s">
        <v>355</v>
      </c>
      <c r="H47" s="9" t="s">
        <v>350</v>
      </c>
      <c r="I47" s="9">
        <v>2022</v>
      </c>
      <c r="J47" s="9" t="s">
        <v>351</v>
      </c>
      <c r="K47" s="9" t="s">
        <v>166</v>
      </c>
      <c r="L47" s="9" t="s">
        <v>356</v>
      </c>
      <c r="M47" s="9" t="s">
        <v>352</v>
      </c>
      <c r="N47" s="9" t="s">
        <v>352</v>
      </c>
      <c r="O47" s="9" t="s">
        <v>113</v>
      </c>
      <c r="P47" s="9">
        <v>1</v>
      </c>
      <c r="Q47" s="9"/>
      <c r="R47" s="9"/>
      <c r="S47" s="9" t="s">
        <v>114</v>
      </c>
    </row>
    <row r="48" spans="1:19">
      <c r="A48" s="9" t="s">
        <v>19</v>
      </c>
      <c r="B48" s="9" t="s">
        <v>103</v>
      </c>
      <c r="C48" s="9" t="s">
        <v>22</v>
      </c>
      <c r="D48" s="9" t="s">
        <v>357</v>
      </c>
      <c r="E48" s="9" t="s">
        <v>358</v>
      </c>
      <c r="F48" s="9" t="s">
        <v>359</v>
      </c>
      <c r="G48" s="9" t="s">
        <v>358</v>
      </c>
      <c r="H48" s="9" t="s">
        <v>360</v>
      </c>
      <c r="I48" s="9">
        <v>2022</v>
      </c>
      <c r="J48" s="9" t="s">
        <v>130</v>
      </c>
      <c r="K48" s="9" t="s">
        <v>159</v>
      </c>
      <c r="L48" s="9" t="s">
        <v>361</v>
      </c>
      <c r="M48" s="9" t="s">
        <v>161</v>
      </c>
      <c r="N48" s="9" t="s">
        <v>161</v>
      </c>
      <c r="O48" s="9" t="s">
        <v>113</v>
      </c>
      <c r="P48" s="9">
        <v>1</v>
      </c>
      <c r="Q48" s="9"/>
      <c r="R48" s="9"/>
      <c r="S48" s="9" t="s">
        <v>114</v>
      </c>
    </row>
    <row r="49" spans="1:19">
      <c r="A49" s="9" t="s">
        <v>19</v>
      </c>
      <c r="B49" s="9" t="s">
        <v>103</v>
      </c>
      <c r="C49" s="9" t="s">
        <v>22</v>
      </c>
      <c r="D49" s="9" t="s">
        <v>362</v>
      </c>
      <c r="E49" s="9" t="s">
        <v>363</v>
      </c>
      <c r="F49" s="9" t="s">
        <v>335</v>
      </c>
      <c r="G49" s="9" t="s">
        <v>363</v>
      </c>
      <c r="H49" s="9" t="s">
        <v>360</v>
      </c>
      <c r="I49" s="9">
        <v>2022</v>
      </c>
      <c r="J49" s="9" t="s">
        <v>130</v>
      </c>
      <c r="K49" s="9" t="s">
        <v>364</v>
      </c>
      <c r="L49" s="9" t="s">
        <v>365</v>
      </c>
      <c r="M49" s="9" t="s">
        <v>112</v>
      </c>
      <c r="N49" s="9" t="s">
        <v>112</v>
      </c>
      <c r="O49" s="9" t="s">
        <v>113</v>
      </c>
      <c r="P49" s="9">
        <v>1</v>
      </c>
      <c r="Q49" s="9"/>
      <c r="R49" s="9"/>
      <c r="S49" s="9" t="s">
        <v>114</v>
      </c>
    </row>
    <row r="50" spans="1:19">
      <c r="A50" s="9" t="s">
        <v>19</v>
      </c>
      <c r="B50" s="9" t="s">
        <v>103</v>
      </c>
      <c r="C50" s="9" t="s">
        <v>22</v>
      </c>
      <c r="D50" s="9" t="s">
        <v>366</v>
      </c>
      <c r="E50" s="9" t="s">
        <v>367</v>
      </c>
      <c r="F50" s="9" t="s">
        <v>368</v>
      </c>
      <c r="G50" s="9" t="s">
        <v>367</v>
      </c>
      <c r="H50" s="9" t="s">
        <v>360</v>
      </c>
      <c r="I50" s="9">
        <v>2022</v>
      </c>
      <c r="J50" s="9" t="s">
        <v>130</v>
      </c>
      <c r="K50" s="9" t="s">
        <v>369</v>
      </c>
      <c r="L50" s="9" t="s">
        <v>370</v>
      </c>
      <c r="M50" s="9" t="s">
        <v>112</v>
      </c>
      <c r="N50" s="9" t="s">
        <v>112</v>
      </c>
      <c r="O50" s="9" t="s">
        <v>113</v>
      </c>
      <c r="P50" s="9">
        <v>1</v>
      </c>
      <c r="Q50" s="9"/>
      <c r="R50" s="9"/>
      <c r="S50" s="9" t="s">
        <v>114</v>
      </c>
    </row>
    <row r="51" spans="1:19">
      <c r="A51" s="9" t="s">
        <v>19</v>
      </c>
      <c r="B51" s="9" t="s">
        <v>103</v>
      </c>
      <c r="C51" s="9" t="s">
        <v>22</v>
      </c>
      <c r="D51" s="9" t="s">
        <v>371</v>
      </c>
      <c r="E51" s="9" t="s">
        <v>372</v>
      </c>
      <c r="F51" s="9" t="s">
        <v>179</v>
      </c>
      <c r="G51" s="9" t="s">
        <v>372</v>
      </c>
      <c r="H51" s="9" t="s">
        <v>373</v>
      </c>
      <c r="I51" s="9">
        <v>2022</v>
      </c>
      <c r="J51" s="9" t="s">
        <v>130</v>
      </c>
      <c r="K51" s="9" t="s">
        <v>374</v>
      </c>
      <c r="L51" s="9" t="s">
        <v>252</v>
      </c>
      <c r="M51" s="9" t="s">
        <v>112</v>
      </c>
      <c r="N51" s="9" t="s">
        <v>112</v>
      </c>
      <c r="O51" s="9" t="s">
        <v>113</v>
      </c>
      <c r="P51" s="9">
        <v>1</v>
      </c>
      <c r="Q51" s="9"/>
      <c r="R51" s="9"/>
      <c r="S51" s="9" t="s">
        <v>114</v>
      </c>
    </row>
    <row r="52" spans="1:19">
      <c r="A52" s="9" t="s">
        <v>19</v>
      </c>
      <c r="B52" s="9" t="s">
        <v>103</v>
      </c>
      <c r="C52" s="9" t="s">
        <v>22</v>
      </c>
      <c r="D52" s="9" t="s">
        <v>375</v>
      </c>
      <c r="E52" s="9" t="s">
        <v>376</v>
      </c>
      <c r="F52" s="9" t="s">
        <v>377</v>
      </c>
      <c r="G52" s="9" t="s">
        <v>376</v>
      </c>
      <c r="H52" s="9" t="s">
        <v>373</v>
      </c>
      <c r="I52" s="9">
        <v>2022</v>
      </c>
      <c r="J52" s="9" t="s">
        <v>130</v>
      </c>
      <c r="K52" s="9" t="s">
        <v>378</v>
      </c>
      <c r="L52" s="9" t="s">
        <v>379</v>
      </c>
      <c r="M52" s="9" t="s">
        <v>310</v>
      </c>
      <c r="N52" s="9" t="s">
        <v>310</v>
      </c>
      <c r="O52" s="9" t="s">
        <v>113</v>
      </c>
      <c r="P52" s="9">
        <v>1</v>
      </c>
      <c r="Q52" s="9"/>
      <c r="R52" s="9"/>
      <c r="S52" s="9" t="s">
        <v>114</v>
      </c>
    </row>
    <row r="53" spans="1:19">
      <c r="A53" s="9" t="s">
        <v>19</v>
      </c>
      <c r="B53" s="9" t="s">
        <v>103</v>
      </c>
      <c r="C53" s="9" t="s">
        <v>22</v>
      </c>
      <c r="D53" s="9" t="s">
        <v>380</v>
      </c>
      <c r="E53" s="9" t="s">
        <v>381</v>
      </c>
      <c r="F53" s="9" t="s">
        <v>377</v>
      </c>
      <c r="G53" s="9" t="s">
        <v>381</v>
      </c>
      <c r="H53" s="9" t="s">
        <v>373</v>
      </c>
      <c r="I53" s="9">
        <v>2022</v>
      </c>
      <c r="J53" s="9" t="s">
        <v>130</v>
      </c>
      <c r="K53" s="9" t="s">
        <v>382</v>
      </c>
      <c r="L53" s="9" t="s">
        <v>383</v>
      </c>
      <c r="M53" s="9" t="s">
        <v>310</v>
      </c>
      <c r="N53" s="9" t="s">
        <v>310</v>
      </c>
      <c r="O53" s="9" t="s">
        <v>113</v>
      </c>
      <c r="P53" s="9">
        <v>1</v>
      </c>
      <c r="Q53" s="9"/>
      <c r="R53" s="9"/>
      <c r="S53" s="9" t="s">
        <v>114</v>
      </c>
    </row>
    <row r="54" spans="1:19">
      <c r="A54" s="9" t="s">
        <v>19</v>
      </c>
      <c r="B54" s="9" t="s">
        <v>103</v>
      </c>
      <c r="C54" s="9" t="s">
        <v>22</v>
      </c>
      <c r="D54" s="9" t="s">
        <v>384</v>
      </c>
      <c r="E54" s="9" t="s">
        <v>385</v>
      </c>
      <c r="F54" s="9" t="s">
        <v>386</v>
      </c>
      <c r="G54" s="9" t="s">
        <v>385</v>
      </c>
      <c r="H54" s="9" t="s">
        <v>387</v>
      </c>
      <c r="I54" s="9">
        <v>2022</v>
      </c>
      <c r="J54" s="9" t="s">
        <v>130</v>
      </c>
      <c r="K54" s="9" t="s">
        <v>388</v>
      </c>
      <c r="L54" s="9" t="s">
        <v>252</v>
      </c>
      <c r="M54" s="9" t="s">
        <v>112</v>
      </c>
      <c r="N54" s="9" t="s">
        <v>112</v>
      </c>
      <c r="O54" s="9" t="s">
        <v>113</v>
      </c>
      <c r="P54" s="9">
        <v>1</v>
      </c>
      <c r="Q54" s="9"/>
      <c r="R54" s="9"/>
      <c r="S54" s="9" t="s">
        <v>114</v>
      </c>
    </row>
    <row r="55" spans="1:19">
      <c r="A55" s="9" t="s">
        <v>19</v>
      </c>
      <c r="B55" s="9" t="s">
        <v>103</v>
      </c>
      <c r="C55" s="9" t="s">
        <v>22</v>
      </c>
      <c r="D55" s="9" t="s">
        <v>389</v>
      </c>
      <c r="E55" s="9" t="s">
        <v>390</v>
      </c>
      <c r="F55" s="9" t="s">
        <v>391</v>
      </c>
      <c r="G55" s="9" t="s">
        <v>390</v>
      </c>
      <c r="H55" s="9" t="s">
        <v>387</v>
      </c>
      <c r="I55" s="9">
        <v>2022</v>
      </c>
      <c r="J55" s="9" t="s">
        <v>130</v>
      </c>
      <c r="K55" s="9" t="s">
        <v>392</v>
      </c>
      <c r="L55" s="9" t="s">
        <v>393</v>
      </c>
      <c r="M55" s="9" t="s">
        <v>112</v>
      </c>
      <c r="N55" s="9" t="s">
        <v>112</v>
      </c>
      <c r="O55" s="9" t="s">
        <v>113</v>
      </c>
      <c r="P55" s="9">
        <v>1</v>
      </c>
      <c r="Q55" s="9"/>
      <c r="R55" s="9"/>
      <c r="S55" s="9" t="s">
        <v>114</v>
      </c>
    </row>
    <row r="56" spans="1:19">
      <c r="A56" s="9" t="s">
        <v>19</v>
      </c>
      <c r="B56" s="9" t="s">
        <v>103</v>
      </c>
      <c r="C56" s="9" t="s">
        <v>22</v>
      </c>
      <c r="D56" s="9" t="s">
        <v>394</v>
      </c>
      <c r="E56" s="9" t="s">
        <v>395</v>
      </c>
      <c r="F56" s="9" t="s">
        <v>396</v>
      </c>
      <c r="G56" s="9" t="s">
        <v>395</v>
      </c>
      <c r="H56" s="9" t="s">
        <v>387</v>
      </c>
      <c r="I56" s="9">
        <v>2022</v>
      </c>
      <c r="J56" s="9" t="s">
        <v>130</v>
      </c>
      <c r="K56" s="9" t="s">
        <v>397</v>
      </c>
      <c r="L56" s="9" t="s">
        <v>398</v>
      </c>
      <c r="M56" s="9" t="s">
        <v>112</v>
      </c>
      <c r="N56" s="9" t="s">
        <v>112</v>
      </c>
      <c r="O56" s="9" t="s">
        <v>113</v>
      </c>
      <c r="P56" s="9">
        <v>1</v>
      </c>
      <c r="Q56" s="9"/>
      <c r="R56" s="9"/>
      <c r="S56" s="9" t="s">
        <v>114</v>
      </c>
    </row>
    <row r="57" spans="1:19">
      <c r="A57" s="9" t="s">
        <v>19</v>
      </c>
      <c r="B57" s="9" t="s">
        <v>103</v>
      </c>
      <c r="C57" s="9" t="s">
        <v>22</v>
      </c>
      <c r="D57" s="9" t="s">
        <v>399</v>
      </c>
      <c r="E57" s="9" t="s">
        <v>400</v>
      </c>
      <c r="F57" s="9" t="s">
        <v>373</v>
      </c>
      <c r="G57" s="9" t="s">
        <v>400</v>
      </c>
      <c r="H57" s="9" t="s">
        <v>401</v>
      </c>
      <c r="I57" s="9">
        <v>2022</v>
      </c>
      <c r="J57" s="9" t="s">
        <v>130</v>
      </c>
      <c r="K57" s="9" t="s">
        <v>402</v>
      </c>
      <c r="L57" s="9" t="s">
        <v>403</v>
      </c>
      <c r="M57" s="9" t="s">
        <v>112</v>
      </c>
      <c r="N57" s="9" t="s">
        <v>112</v>
      </c>
      <c r="O57" s="9" t="s">
        <v>113</v>
      </c>
      <c r="P57" s="9">
        <v>1</v>
      </c>
      <c r="Q57" s="9"/>
      <c r="R57" s="9"/>
      <c r="S57" s="9" t="s">
        <v>114</v>
      </c>
    </row>
    <row r="58" spans="1:19">
      <c r="A58" s="9" t="s">
        <v>19</v>
      </c>
      <c r="B58" s="9" t="s">
        <v>103</v>
      </c>
      <c r="C58" s="9" t="s">
        <v>22</v>
      </c>
      <c r="D58" s="9" t="s">
        <v>404</v>
      </c>
      <c r="E58" s="9" t="s">
        <v>405</v>
      </c>
      <c r="F58" s="9" t="s">
        <v>406</v>
      </c>
      <c r="G58" s="9" t="s">
        <v>405</v>
      </c>
      <c r="H58" s="9" t="s">
        <v>401</v>
      </c>
      <c r="I58" s="9">
        <v>2022</v>
      </c>
      <c r="J58" s="9" t="s">
        <v>130</v>
      </c>
      <c r="K58" s="9" t="s">
        <v>407</v>
      </c>
      <c r="L58" s="9" t="s">
        <v>408</v>
      </c>
      <c r="M58" s="9" t="s">
        <v>112</v>
      </c>
      <c r="N58" s="9" t="s">
        <v>112</v>
      </c>
      <c r="O58" s="9" t="s">
        <v>113</v>
      </c>
      <c r="P58" s="9">
        <v>1</v>
      </c>
      <c r="Q58" s="9"/>
      <c r="R58" s="9"/>
      <c r="S58" s="9" t="s">
        <v>114</v>
      </c>
    </row>
    <row r="59" spans="1:19">
      <c r="A59" s="9" t="s">
        <v>19</v>
      </c>
      <c r="B59" s="9" t="s">
        <v>103</v>
      </c>
      <c r="C59" s="9" t="s">
        <v>22</v>
      </c>
      <c r="D59" s="9" t="s">
        <v>409</v>
      </c>
      <c r="E59" s="9" t="s">
        <v>410</v>
      </c>
      <c r="F59" s="9" t="s">
        <v>411</v>
      </c>
      <c r="G59" s="9" t="s">
        <v>410</v>
      </c>
      <c r="H59" s="9" t="s">
        <v>401</v>
      </c>
      <c r="I59" s="9">
        <v>2022</v>
      </c>
      <c r="J59" s="9" t="s">
        <v>130</v>
      </c>
      <c r="K59" s="9" t="s">
        <v>412</v>
      </c>
      <c r="L59" s="9" t="s">
        <v>413</v>
      </c>
      <c r="M59" s="9" t="s">
        <v>112</v>
      </c>
      <c r="N59" s="9" t="s">
        <v>112</v>
      </c>
      <c r="O59" s="9" t="s">
        <v>113</v>
      </c>
      <c r="P59" s="9">
        <v>1</v>
      </c>
      <c r="Q59" s="9"/>
      <c r="R59" s="9"/>
      <c r="S59" s="9" t="s">
        <v>114</v>
      </c>
    </row>
    <row r="60" spans="1:19">
      <c r="A60" s="9" t="s">
        <v>19</v>
      </c>
      <c r="B60" s="9" t="s">
        <v>103</v>
      </c>
      <c r="C60" s="9" t="s">
        <v>22</v>
      </c>
      <c r="D60" s="9" t="s">
        <v>414</v>
      </c>
      <c r="E60" s="9" t="s">
        <v>415</v>
      </c>
      <c r="F60" s="9" t="s">
        <v>416</v>
      </c>
      <c r="G60" s="9" t="s">
        <v>415</v>
      </c>
      <c r="H60" s="9" t="s">
        <v>401</v>
      </c>
      <c r="I60" s="9">
        <v>2022</v>
      </c>
      <c r="J60" s="9" t="s">
        <v>130</v>
      </c>
      <c r="K60" s="9" t="s">
        <v>417</v>
      </c>
      <c r="L60" s="9" t="s">
        <v>418</v>
      </c>
      <c r="M60" s="9" t="s">
        <v>112</v>
      </c>
      <c r="N60" s="9" t="s">
        <v>112</v>
      </c>
      <c r="O60" s="9" t="s">
        <v>113</v>
      </c>
      <c r="P60" s="9">
        <v>1</v>
      </c>
      <c r="Q60" s="9"/>
      <c r="R60" s="9"/>
      <c r="S60" s="9" t="s">
        <v>114</v>
      </c>
    </row>
    <row r="61" spans="1:19">
      <c r="A61" s="9" t="s">
        <v>19</v>
      </c>
      <c r="B61" s="9" t="s">
        <v>103</v>
      </c>
      <c r="C61" s="9" t="s">
        <v>22</v>
      </c>
      <c r="D61" s="9" t="s">
        <v>419</v>
      </c>
      <c r="E61" s="9" t="s">
        <v>420</v>
      </c>
      <c r="F61" s="9" t="s">
        <v>421</v>
      </c>
      <c r="G61" s="9" t="s">
        <v>420</v>
      </c>
      <c r="H61" s="9" t="s">
        <v>401</v>
      </c>
      <c r="I61" s="9">
        <v>2022</v>
      </c>
      <c r="J61" s="9" t="s">
        <v>130</v>
      </c>
      <c r="K61" s="9" t="s">
        <v>422</v>
      </c>
      <c r="L61" s="9" t="s">
        <v>252</v>
      </c>
      <c r="M61" s="9" t="s">
        <v>310</v>
      </c>
      <c r="N61" s="9" t="s">
        <v>310</v>
      </c>
      <c r="O61" s="9" t="s">
        <v>113</v>
      </c>
      <c r="P61" s="9">
        <v>1</v>
      </c>
      <c r="Q61" s="9"/>
      <c r="R61" s="9"/>
      <c r="S61" s="9" t="s">
        <v>114</v>
      </c>
    </row>
    <row r="62" spans="1:19">
      <c r="A62" s="9" t="s">
        <v>19</v>
      </c>
      <c r="B62" s="9" t="s">
        <v>103</v>
      </c>
      <c r="C62" s="9" t="s">
        <v>22</v>
      </c>
      <c r="D62" s="9" t="s">
        <v>423</v>
      </c>
      <c r="E62" s="9" t="s">
        <v>424</v>
      </c>
      <c r="F62" s="9" t="s">
        <v>425</v>
      </c>
      <c r="G62" s="9" t="s">
        <v>424</v>
      </c>
      <c r="H62" s="9" t="s">
        <v>401</v>
      </c>
      <c r="I62" s="9">
        <v>2022</v>
      </c>
      <c r="J62" s="9" t="s">
        <v>130</v>
      </c>
      <c r="K62" s="9" t="s">
        <v>426</v>
      </c>
      <c r="L62" s="9" t="s">
        <v>427</v>
      </c>
      <c r="M62" s="9" t="s">
        <v>112</v>
      </c>
      <c r="N62" s="9" t="s">
        <v>112</v>
      </c>
      <c r="O62" s="9" t="s">
        <v>113</v>
      </c>
      <c r="P62" s="9">
        <v>1</v>
      </c>
      <c r="Q62" s="9"/>
      <c r="R62" s="9"/>
      <c r="S62" s="9" t="s">
        <v>114</v>
      </c>
    </row>
    <row r="63" spans="1:19">
      <c r="A63" s="9" t="s">
        <v>19</v>
      </c>
      <c r="B63" s="9" t="s">
        <v>103</v>
      </c>
      <c r="C63" s="9" t="s">
        <v>22</v>
      </c>
      <c r="D63" s="9" t="s">
        <v>428</v>
      </c>
      <c r="E63" s="9" t="s">
        <v>429</v>
      </c>
      <c r="F63" s="9" t="s">
        <v>373</v>
      </c>
      <c r="G63" s="9" t="s">
        <v>429</v>
      </c>
      <c r="H63" s="9" t="s">
        <v>401</v>
      </c>
      <c r="I63" s="9">
        <v>2022</v>
      </c>
      <c r="J63" s="9" t="s">
        <v>130</v>
      </c>
      <c r="K63" s="9" t="s">
        <v>430</v>
      </c>
      <c r="L63" s="9" t="s">
        <v>431</v>
      </c>
      <c r="M63" s="9" t="s">
        <v>112</v>
      </c>
      <c r="N63" s="9" t="s">
        <v>112</v>
      </c>
      <c r="O63" s="9" t="s">
        <v>113</v>
      </c>
      <c r="P63" s="9">
        <v>1</v>
      </c>
      <c r="Q63" s="9"/>
      <c r="R63" s="9"/>
      <c r="S63" s="9" t="s">
        <v>114</v>
      </c>
    </row>
    <row r="64" spans="1:19">
      <c r="A64" s="9" t="s">
        <v>19</v>
      </c>
      <c r="B64" s="9" t="s">
        <v>103</v>
      </c>
      <c r="C64" s="9" t="s">
        <v>22</v>
      </c>
      <c r="D64" s="9" t="s">
        <v>432</v>
      </c>
      <c r="E64" s="9" t="s">
        <v>433</v>
      </c>
      <c r="F64" s="9" t="s">
        <v>406</v>
      </c>
      <c r="G64" s="9" t="s">
        <v>433</v>
      </c>
      <c r="H64" s="9" t="s">
        <v>401</v>
      </c>
      <c r="I64" s="9">
        <v>2022</v>
      </c>
      <c r="J64" s="9" t="s">
        <v>130</v>
      </c>
      <c r="K64" s="9" t="s">
        <v>434</v>
      </c>
      <c r="L64" s="9" t="s">
        <v>435</v>
      </c>
      <c r="M64" s="9" t="s">
        <v>112</v>
      </c>
      <c r="N64" s="9" t="s">
        <v>112</v>
      </c>
      <c r="O64" s="9" t="s">
        <v>113</v>
      </c>
      <c r="P64" s="9">
        <v>1</v>
      </c>
      <c r="Q64" s="9"/>
      <c r="R64" s="9"/>
      <c r="S64" s="9" t="s">
        <v>114</v>
      </c>
    </row>
    <row r="65" spans="1:19">
      <c r="A65" s="9" t="s">
        <v>19</v>
      </c>
      <c r="B65" s="9" t="s">
        <v>103</v>
      </c>
      <c r="C65" s="9" t="s">
        <v>22</v>
      </c>
      <c r="D65" s="9" t="s">
        <v>436</v>
      </c>
      <c r="E65" s="9" t="s">
        <v>437</v>
      </c>
      <c r="F65" s="9" t="s">
        <v>438</v>
      </c>
      <c r="G65" s="9" t="s">
        <v>437</v>
      </c>
      <c r="H65" s="9" t="s">
        <v>401</v>
      </c>
      <c r="I65" s="9">
        <v>2022</v>
      </c>
      <c r="J65" s="9" t="s">
        <v>130</v>
      </c>
      <c r="K65" s="9" t="s">
        <v>166</v>
      </c>
      <c r="L65" s="9" t="s">
        <v>167</v>
      </c>
      <c r="M65" s="9" t="s">
        <v>161</v>
      </c>
      <c r="N65" s="9" t="s">
        <v>161</v>
      </c>
      <c r="O65" s="9" t="s">
        <v>113</v>
      </c>
      <c r="P65" s="9">
        <v>1</v>
      </c>
      <c r="Q65" s="9"/>
      <c r="R65" s="9"/>
      <c r="S65" s="9" t="s">
        <v>114</v>
      </c>
    </row>
    <row r="66" spans="1:19">
      <c r="A66" s="9" t="s">
        <v>19</v>
      </c>
      <c r="B66" s="9" t="s">
        <v>103</v>
      </c>
      <c r="C66" s="9" t="s">
        <v>22</v>
      </c>
      <c r="D66" s="9" t="s">
        <v>439</v>
      </c>
      <c r="E66" s="9" t="s">
        <v>440</v>
      </c>
      <c r="F66" s="9" t="s">
        <v>441</v>
      </c>
      <c r="G66" s="9" t="s">
        <v>440</v>
      </c>
      <c r="H66" s="9" t="s">
        <v>401</v>
      </c>
      <c r="I66" s="9">
        <v>2022</v>
      </c>
      <c r="J66" s="9" t="s">
        <v>130</v>
      </c>
      <c r="K66" s="9" t="s">
        <v>442</v>
      </c>
      <c r="L66" s="9" t="s">
        <v>443</v>
      </c>
      <c r="M66" s="9" t="s">
        <v>112</v>
      </c>
      <c r="N66" s="9" t="s">
        <v>112</v>
      </c>
      <c r="O66" s="9" t="s">
        <v>113</v>
      </c>
      <c r="P66" s="9">
        <v>1</v>
      </c>
      <c r="Q66" s="9"/>
      <c r="R66" s="9"/>
      <c r="S66" s="9" t="s">
        <v>114</v>
      </c>
    </row>
    <row r="67" spans="1:19">
      <c r="A67" s="9" t="s">
        <v>19</v>
      </c>
      <c r="B67" s="9" t="s">
        <v>103</v>
      </c>
      <c r="C67" s="9" t="s">
        <v>22</v>
      </c>
      <c r="D67" s="9" t="s">
        <v>444</v>
      </c>
      <c r="E67" s="9" t="s">
        <v>445</v>
      </c>
      <c r="F67" s="9" t="s">
        <v>425</v>
      </c>
      <c r="G67" s="9" t="s">
        <v>445</v>
      </c>
      <c r="H67" s="9" t="s">
        <v>401</v>
      </c>
      <c r="I67" s="9">
        <v>2022</v>
      </c>
      <c r="J67" s="9" t="s">
        <v>130</v>
      </c>
      <c r="K67" s="9" t="s">
        <v>446</v>
      </c>
      <c r="L67" s="9" t="s">
        <v>447</v>
      </c>
      <c r="M67" s="9" t="s">
        <v>112</v>
      </c>
      <c r="N67" s="9" t="s">
        <v>112</v>
      </c>
      <c r="O67" s="9" t="s">
        <v>113</v>
      </c>
      <c r="P67" s="9">
        <v>1</v>
      </c>
      <c r="Q67" s="9"/>
      <c r="R67" s="9"/>
      <c r="S67" s="9" t="s">
        <v>114</v>
      </c>
    </row>
    <row r="68" spans="1:19">
      <c r="A68" s="9" t="s">
        <v>19</v>
      </c>
      <c r="B68" s="9" t="s">
        <v>103</v>
      </c>
      <c r="C68" s="9" t="s">
        <v>22</v>
      </c>
      <c r="D68" s="9" t="s">
        <v>448</v>
      </c>
      <c r="E68" s="9" t="s">
        <v>449</v>
      </c>
      <c r="F68" s="9" t="s">
        <v>360</v>
      </c>
      <c r="G68" s="9" t="s">
        <v>449</v>
      </c>
      <c r="H68" s="9" t="s">
        <v>401</v>
      </c>
      <c r="I68" s="9">
        <v>2022</v>
      </c>
      <c r="J68" s="9" t="s">
        <v>130</v>
      </c>
      <c r="K68" s="9" t="s">
        <v>450</v>
      </c>
      <c r="L68" s="9" t="s">
        <v>451</v>
      </c>
      <c r="M68" s="9" t="s">
        <v>112</v>
      </c>
      <c r="N68" s="9" t="s">
        <v>112</v>
      </c>
      <c r="O68" s="9" t="s">
        <v>113</v>
      </c>
      <c r="P68" s="9">
        <v>1</v>
      </c>
      <c r="Q68" s="9"/>
      <c r="R68" s="9"/>
      <c r="S68" s="9" t="s">
        <v>114</v>
      </c>
    </row>
    <row r="69" spans="1:19">
      <c r="A69" s="9" t="s">
        <v>19</v>
      </c>
      <c r="B69" s="9" t="s">
        <v>103</v>
      </c>
      <c r="C69" s="9" t="s">
        <v>22</v>
      </c>
      <c r="D69" s="9" t="s">
        <v>452</v>
      </c>
      <c r="E69" s="9" t="s">
        <v>453</v>
      </c>
      <c r="F69" s="9" t="s">
        <v>454</v>
      </c>
      <c r="G69" s="9" t="s">
        <v>453</v>
      </c>
      <c r="H69" s="9" t="s">
        <v>401</v>
      </c>
      <c r="I69" s="9">
        <v>2022</v>
      </c>
      <c r="J69" s="9" t="s">
        <v>130</v>
      </c>
      <c r="K69" s="9" t="s">
        <v>455</v>
      </c>
      <c r="L69" s="9" t="s">
        <v>456</v>
      </c>
      <c r="M69" s="9" t="s">
        <v>310</v>
      </c>
      <c r="N69" s="9" t="s">
        <v>310</v>
      </c>
      <c r="O69" s="9" t="s">
        <v>113</v>
      </c>
      <c r="P69" s="9">
        <v>1</v>
      </c>
      <c r="Q69" s="9"/>
      <c r="R69" s="9"/>
      <c r="S69" s="9" t="s">
        <v>114</v>
      </c>
    </row>
    <row r="70" spans="1:19">
      <c r="A70" s="9" t="s">
        <v>19</v>
      </c>
      <c r="B70" s="9" t="s">
        <v>103</v>
      </c>
      <c r="C70" s="9" t="s">
        <v>22</v>
      </c>
      <c r="D70" s="9" t="s">
        <v>457</v>
      </c>
      <c r="E70" s="9" t="s">
        <v>458</v>
      </c>
      <c r="F70" s="9" t="s">
        <v>373</v>
      </c>
      <c r="G70" s="9" t="s">
        <v>458</v>
      </c>
      <c r="H70" s="9" t="s">
        <v>401</v>
      </c>
      <c r="I70" s="9">
        <v>2022</v>
      </c>
      <c r="J70" s="9" t="s">
        <v>130</v>
      </c>
      <c r="K70" s="9" t="s">
        <v>459</v>
      </c>
      <c r="L70" s="9" t="s">
        <v>460</v>
      </c>
      <c r="M70" s="9" t="s">
        <v>112</v>
      </c>
      <c r="N70" s="9" t="s">
        <v>112</v>
      </c>
      <c r="O70" s="9" t="s">
        <v>113</v>
      </c>
      <c r="P70" s="9">
        <v>1</v>
      </c>
      <c r="Q70" s="9"/>
      <c r="R70" s="9"/>
      <c r="S70" s="9" t="s">
        <v>114</v>
      </c>
    </row>
    <row r="71" spans="1:19">
      <c r="A71" s="9" t="s">
        <v>19</v>
      </c>
      <c r="B71" s="9" t="s">
        <v>103</v>
      </c>
      <c r="C71" s="9" t="s">
        <v>22</v>
      </c>
      <c r="D71" s="9" t="s">
        <v>461</v>
      </c>
      <c r="E71" s="9" t="s">
        <v>462</v>
      </c>
      <c r="F71" s="9" t="s">
        <v>463</v>
      </c>
      <c r="G71" s="9" t="s">
        <v>462</v>
      </c>
      <c r="H71" s="9" t="s">
        <v>401</v>
      </c>
      <c r="I71" s="9">
        <v>2022</v>
      </c>
      <c r="J71" s="9" t="s">
        <v>130</v>
      </c>
      <c r="K71" s="9" t="s">
        <v>464</v>
      </c>
      <c r="L71" s="9" t="s">
        <v>465</v>
      </c>
      <c r="M71" s="9" t="s">
        <v>112</v>
      </c>
      <c r="N71" s="9" t="s">
        <v>112</v>
      </c>
      <c r="O71" s="9" t="s">
        <v>113</v>
      </c>
      <c r="P71" s="9">
        <v>1</v>
      </c>
      <c r="Q71" s="9"/>
      <c r="R71" s="9"/>
      <c r="S71" s="9" t="s">
        <v>114</v>
      </c>
    </row>
    <row r="72" spans="1:19">
      <c r="A72" s="9" t="s">
        <v>19</v>
      </c>
      <c r="B72" s="9" t="s">
        <v>103</v>
      </c>
      <c r="C72" s="9" t="s">
        <v>22</v>
      </c>
      <c r="D72" s="9" t="s">
        <v>466</v>
      </c>
      <c r="E72" s="9" t="s">
        <v>467</v>
      </c>
      <c r="F72" s="9" t="s">
        <v>463</v>
      </c>
      <c r="G72" s="9" t="s">
        <v>467</v>
      </c>
      <c r="H72" s="9" t="s">
        <v>401</v>
      </c>
      <c r="I72" s="9">
        <v>2022</v>
      </c>
      <c r="J72" s="9" t="s">
        <v>130</v>
      </c>
      <c r="K72" s="9" t="s">
        <v>468</v>
      </c>
      <c r="L72" s="9" t="s">
        <v>469</v>
      </c>
      <c r="M72" s="9" t="s">
        <v>112</v>
      </c>
      <c r="N72" s="9" t="s">
        <v>112</v>
      </c>
      <c r="O72" s="9" t="s">
        <v>113</v>
      </c>
      <c r="P72" s="9">
        <v>1</v>
      </c>
      <c r="Q72" s="9"/>
      <c r="R72" s="9"/>
      <c r="S72" s="9" t="s">
        <v>114</v>
      </c>
    </row>
    <row r="73" spans="1:19">
      <c r="A73" s="9" t="s">
        <v>19</v>
      </c>
      <c r="B73" s="9" t="s">
        <v>103</v>
      </c>
      <c r="C73" s="9" t="s">
        <v>22</v>
      </c>
      <c r="D73" s="9" t="s">
        <v>470</v>
      </c>
      <c r="E73" s="9" t="s">
        <v>471</v>
      </c>
      <c r="F73" s="9" t="s">
        <v>472</v>
      </c>
      <c r="G73" s="9" t="s">
        <v>471</v>
      </c>
      <c r="H73" s="9" t="s">
        <v>401</v>
      </c>
      <c r="I73" s="9">
        <v>2022</v>
      </c>
      <c r="J73" s="9" t="s">
        <v>130</v>
      </c>
      <c r="K73" s="9" t="s">
        <v>473</v>
      </c>
      <c r="L73" s="9" t="s">
        <v>474</v>
      </c>
      <c r="M73" s="9" t="s">
        <v>112</v>
      </c>
      <c r="N73" s="9" t="s">
        <v>112</v>
      </c>
      <c r="O73" s="9" t="s">
        <v>113</v>
      </c>
      <c r="P73" s="9">
        <v>1</v>
      </c>
      <c r="Q73" s="9"/>
      <c r="R73" s="9"/>
      <c r="S73" s="9" t="s">
        <v>114</v>
      </c>
    </row>
    <row r="74" spans="1:19">
      <c r="A74" s="9" t="s">
        <v>19</v>
      </c>
      <c r="B74" s="9" t="s">
        <v>103</v>
      </c>
      <c r="C74" s="9" t="s">
        <v>22</v>
      </c>
      <c r="D74" s="9" t="s">
        <v>475</v>
      </c>
      <c r="E74" s="9" t="s">
        <v>476</v>
      </c>
      <c r="F74" s="9" t="s">
        <v>477</v>
      </c>
      <c r="G74" s="9" t="s">
        <v>476</v>
      </c>
      <c r="H74" s="9" t="s">
        <v>401</v>
      </c>
      <c r="I74" s="9">
        <v>2022</v>
      </c>
      <c r="J74" s="9" t="s">
        <v>130</v>
      </c>
      <c r="K74" s="9" t="s">
        <v>478</v>
      </c>
      <c r="L74" s="9" t="s">
        <v>479</v>
      </c>
      <c r="M74" s="9" t="s">
        <v>112</v>
      </c>
      <c r="N74" s="9" t="s">
        <v>112</v>
      </c>
      <c r="O74" s="9" t="s">
        <v>113</v>
      </c>
      <c r="P74" s="9">
        <v>1</v>
      </c>
      <c r="Q74" s="9"/>
      <c r="R74" s="9"/>
      <c r="S74" s="9" t="s">
        <v>114</v>
      </c>
    </row>
    <row r="75" spans="1:19">
      <c r="A75" s="9" t="s">
        <v>19</v>
      </c>
      <c r="B75" s="9" t="s">
        <v>103</v>
      </c>
      <c r="C75" s="9" t="s">
        <v>22</v>
      </c>
      <c r="D75" s="9" t="s">
        <v>480</v>
      </c>
      <c r="E75" s="9" t="s">
        <v>481</v>
      </c>
      <c r="F75" s="9" t="s">
        <v>211</v>
      </c>
      <c r="G75" s="9" t="s">
        <v>481</v>
      </c>
      <c r="H75" s="9" t="s">
        <v>401</v>
      </c>
      <c r="I75" s="9">
        <v>2022</v>
      </c>
      <c r="J75" s="9" t="s">
        <v>130</v>
      </c>
      <c r="K75" s="9" t="s">
        <v>482</v>
      </c>
      <c r="L75" s="9" t="s">
        <v>252</v>
      </c>
      <c r="M75" s="9" t="s">
        <v>112</v>
      </c>
      <c r="N75" s="9" t="s">
        <v>112</v>
      </c>
      <c r="O75" s="9" t="s">
        <v>113</v>
      </c>
      <c r="P75" s="9">
        <v>1</v>
      </c>
      <c r="Q75" s="9"/>
      <c r="R75" s="9"/>
      <c r="S75" s="9" t="s">
        <v>114</v>
      </c>
    </row>
    <row r="76" spans="1:19">
      <c r="A76" s="9" t="s">
        <v>19</v>
      </c>
      <c r="B76" s="9" t="s">
        <v>103</v>
      </c>
      <c r="C76" s="9" t="s">
        <v>22</v>
      </c>
      <c r="D76" s="9" t="s">
        <v>483</v>
      </c>
      <c r="E76" s="9" t="s">
        <v>484</v>
      </c>
      <c r="F76" s="9" t="s">
        <v>411</v>
      </c>
      <c r="G76" s="9" t="s">
        <v>484</v>
      </c>
      <c r="H76" s="9" t="s">
        <v>401</v>
      </c>
      <c r="I76" s="9">
        <v>2022</v>
      </c>
      <c r="J76" s="9" t="s">
        <v>130</v>
      </c>
      <c r="K76" s="9" t="s">
        <v>412</v>
      </c>
      <c r="L76" s="9" t="s">
        <v>485</v>
      </c>
      <c r="M76" s="9" t="s">
        <v>112</v>
      </c>
      <c r="N76" s="9" t="s">
        <v>112</v>
      </c>
      <c r="O76" s="9" t="s">
        <v>113</v>
      </c>
      <c r="P76" s="9">
        <v>1</v>
      </c>
      <c r="Q76" s="9"/>
      <c r="R76" s="9"/>
      <c r="S76" s="9" t="s">
        <v>114</v>
      </c>
    </row>
    <row r="77" spans="1:19">
      <c r="A77" s="9" t="s">
        <v>19</v>
      </c>
      <c r="B77" s="9" t="s">
        <v>103</v>
      </c>
      <c r="C77" s="9" t="s">
        <v>22</v>
      </c>
      <c r="D77" s="9" t="s">
        <v>486</v>
      </c>
      <c r="E77" s="9" t="s">
        <v>487</v>
      </c>
      <c r="F77" s="9" t="s">
        <v>211</v>
      </c>
      <c r="G77" s="9" t="s">
        <v>487</v>
      </c>
      <c r="H77" s="9" t="s">
        <v>488</v>
      </c>
      <c r="I77" s="9">
        <v>2023</v>
      </c>
      <c r="J77" s="9" t="s">
        <v>130</v>
      </c>
      <c r="K77" s="9" t="s">
        <v>489</v>
      </c>
      <c r="L77" s="9" t="s">
        <v>252</v>
      </c>
      <c r="M77" s="9" t="s">
        <v>112</v>
      </c>
      <c r="N77" s="9" t="s">
        <v>112</v>
      </c>
      <c r="O77" s="9" t="s">
        <v>113</v>
      </c>
      <c r="P77" s="9">
        <v>1</v>
      </c>
      <c r="Q77" s="9"/>
      <c r="R77" s="9"/>
      <c r="S77" s="9" t="s">
        <v>114</v>
      </c>
    </row>
    <row r="78" spans="1:19">
      <c r="A78" s="9" t="s">
        <v>19</v>
      </c>
      <c r="B78" s="9" t="s">
        <v>103</v>
      </c>
      <c r="C78" s="9" t="s">
        <v>22</v>
      </c>
      <c r="D78" s="9" t="s">
        <v>490</v>
      </c>
      <c r="E78" s="9" t="s">
        <v>491</v>
      </c>
      <c r="F78" s="9" t="s">
        <v>492</v>
      </c>
      <c r="G78" s="9" t="s">
        <v>491</v>
      </c>
      <c r="H78" s="9" t="s">
        <v>493</v>
      </c>
      <c r="I78" s="9">
        <v>2023</v>
      </c>
      <c r="J78" s="9" t="s">
        <v>130</v>
      </c>
      <c r="K78" s="9" t="s">
        <v>494</v>
      </c>
      <c r="L78" s="9" t="s">
        <v>495</v>
      </c>
      <c r="M78" s="9" t="s">
        <v>112</v>
      </c>
      <c r="N78" s="9" t="s">
        <v>112</v>
      </c>
      <c r="O78" s="9" t="s">
        <v>113</v>
      </c>
      <c r="P78" s="9">
        <v>1</v>
      </c>
      <c r="Q78" s="9"/>
      <c r="R78" s="9"/>
      <c r="S78" s="9" t="s">
        <v>114</v>
      </c>
    </row>
    <row r="79" spans="1:19">
      <c r="A79" s="9" t="s">
        <v>19</v>
      </c>
      <c r="B79" s="9" t="s">
        <v>103</v>
      </c>
      <c r="C79" s="9" t="s">
        <v>22</v>
      </c>
      <c r="D79" s="9" t="s">
        <v>496</v>
      </c>
      <c r="E79" s="9" t="s">
        <v>497</v>
      </c>
      <c r="F79" s="9" t="s">
        <v>401</v>
      </c>
      <c r="G79" s="9" t="s">
        <v>497</v>
      </c>
      <c r="H79" s="9" t="s">
        <v>493</v>
      </c>
      <c r="I79" s="9">
        <v>2023</v>
      </c>
      <c r="J79" s="9" t="s">
        <v>130</v>
      </c>
      <c r="K79" s="9" t="s">
        <v>498</v>
      </c>
      <c r="L79" s="9" t="s">
        <v>499</v>
      </c>
      <c r="M79" s="9" t="s">
        <v>112</v>
      </c>
      <c r="N79" s="9" t="s">
        <v>112</v>
      </c>
      <c r="O79" s="9" t="s">
        <v>113</v>
      </c>
      <c r="P79" s="9">
        <v>1</v>
      </c>
      <c r="Q79" s="9"/>
      <c r="R79" s="9"/>
      <c r="S79" s="9" t="s">
        <v>114</v>
      </c>
    </row>
    <row r="80" spans="1:19">
      <c r="A80" s="9" t="s">
        <v>19</v>
      </c>
      <c r="B80" s="9" t="s">
        <v>103</v>
      </c>
      <c r="C80" s="9" t="s">
        <v>22</v>
      </c>
      <c r="D80" s="9" t="s">
        <v>500</v>
      </c>
      <c r="E80" s="9" t="s">
        <v>501</v>
      </c>
      <c r="F80" s="9" t="s">
        <v>502</v>
      </c>
      <c r="G80" s="9" t="s">
        <v>501</v>
      </c>
      <c r="H80" s="9" t="s">
        <v>503</v>
      </c>
      <c r="I80" s="9">
        <v>2023</v>
      </c>
      <c r="J80" s="9" t="s">
        <v>130</v>
      </c>
      <c r="K80" s="9" t="s">
        <v>504</v>
      </c>
      <c r="L80" s="9" t="s">
        <v>505</v>
      </c>
      <c r="M80" s="9" t="s">
        <v>112</v>
      </c>
      <c r="N80" s="9" t="s">
        <v>112</v>
      </c>
      <c r="O80" s="9" t="s">
        <v>113</v>
      </c>
      <c r="P80" s="9">
        <v>1</v>
      </c>
      <c r="Q80" s="9"/>
      <c r="R80" s="9"/>
      <c r="S80" s="9" t="s">
        <v>114</v>
      </c>
    </row>
    <row r="81" spans="1:19">
      <c r="A81" s="9" t="s">
        <v>19</v>
      </c>
      <c r="B81" s="9" t="s">
        <v>103</v>
      </c>
      <c r="C81" s="9" t="s">
        <v>22</v>
      </c>
      <c r="D81" s="9" t="s">
        <v>506</v>
      </c>
      <c r="E81" s="9" t="s">
        <v>507</v>
      </c>
      <c r="F81" s="9" t="s">
        <v>508</v>
      </c>
      <c r="G81" s="9" t="s">
        <v>507</v>
      </c>
      <c r="H81" s="9" t="s">
        <v>509</v>
      </c>
      <c r="I81" s="9">
        <v>2023</v>
      </c>
      <c r="J81" s="9" t="s">
        <v>130</v>
      </c>
      <c r="K81" s="9" t="s">
        <v>510</v>
      </c>
      <c r="L81" s="9" t="s">
        <v>511</v>
      </c>
      <c r="M81" s="9" t="s">
        <v>112</v>
      </c>
      <c r="N81" s="9" t="s">
        <v>112</v>
      </c>
      <c r="O81" s="9" t="s">
        <v>113</v>
      </c>
      <c r="P81" s="9">
        <v>1</v>
      </c>
      <c r="Q81" s="9"/>
      <c r="R81" s="9"/>
      <c r="S81" s="9" t="s">
        <v>114</v>
      </c>
    </row>
    <row r="82" spans="1:19">
      <c r="A82" s="9" t="s">
        <v>19</v>
      </c>
      <c r="B82" s="9" t="s">
        <v>103</v>
      </c>
      <c r="C82" s="9" t="s">
        <v>22</v>
      </c>
      <c r="D82" s="9" t="s">
        <v>512</v>
      </c>
      <c r="E82" s="9" t="s">
        <v>513</v>
      </c>
      <c r="F82" s="9" t="s">
        <v>514</v>
      </c>
      <c r="G82" s="9" t="s">
        <v>513</v>
      </c>
      <c r="H82" s="9" t="s">
        <v>509</v>
      </c>
      <c r="I82" s="9">
        <v>2023</v>
      </c>
      <c r="J82" s="9" t="s">
        <v>130</v>
      </c>
      <c r="K82" s="9" t="s">
        <v>515</v>
      </c>
      <c r="L82" s="9" t="s">
        <v>516</v>
      </c>
      <c r="M82" s="9" t="s">
        <v>112</v>
      </c>
      <c r="N82" s="9" t="s">
        <v>112</v>
      </c>
      <c r="O82" s="9" t="s">
        <v>113</v>
      </c>
      <c r="P82" s="9">
        <v>1</v>
      </c>
      <c r="Q82" s="9"/>
      <c r="R82" s="9"/>
      <c r="S82" s="9" t="s">
        <v>114</v>
      </c>
    </row>
    <row r="83" spans="1:19">
      <c r="A83" s="9" t="s">
        <v>19</v>
      </c>
      <c r="B83" s="9" t="s">
        <v>103</v>
      </c>
      <c r="C83" s="9" t="s">
        <v>22</v>
      </c>
      <c r="D83" s="9" t="s">
        <v>517</v>
      </c>
      <c r="E83" s="9" t="s">
        <v>518</v>
      </c>
      <c r="F83" s="9" t="s">
        <v>519</v>
      </c>
      <c r="G83" s="9" t="s">
        <v>520</v>
      </c>
      <c r="H83" s="9" t="s">
        <v>521</v>
      </c>
      <c r="I83" s="9">
        <v>2023</v>
      </c>
      <c r="J83" s="9" t="s">
        <v>158</v>
      </c>
      <c r="K83" s="9" t="s">
        <v>236</v>
      </c>
      <c r="L83" s="9" t="s">
        <v>522</v>
      </c>
      <c r="M83" s="9" t="s">
        <v>523</v>
      </c>
      <c r="N83" s="9" t="s">
        <v>112</v>
      </c>
      <c r="O83" s="9" t="s">
        <v>113</v>
      </c>
      <c r="P83" s="9">
        <v>1</v>
      </c>
      <c r="Q83" s="9" t="s">
        <v>524</v>
      </c>
      <c r="R83" s="9" t="s">
        <v>525</v>
      </c>
      <c r="S83" s="9" t="s">
        <v>114</v>
      </c>
    </row>
    <row r="84" spans="1:19">
      <c r="A84" s="9" t="s">
        <v>19</v>
      </c>
      <c r="B84" s="9" t="s">
        <v>103</v>
      </c>
      <c r="C84" s="9" t="s">
        <v>22</v>
      </c>
      <c r="D84" s="9" t="s">
        <v>526</v>
      </c>
      <c r="E84" s="9" t="s">
        <v>527</v>
      </c>
      <c r="F84" s="9" t="s">
        <v>528</v>
      </c>
      <c r="G84" s="9" t="s">
        <v>527</v>
      </c>
      <c r="H84" s="9" t="s">
        <v>529</v>
      </c>
      <c r="I84" s="9">
        <v>2023</v>
      </c>
      <c r="J84" s="9" t="s">
        <v>130</v>
      </c>
      <c r="K84" s="9" t="s">
        <v>530</v>
      </c>
      <c r="L84" s="9" t="s">
        <v>252</v>
      </c>
      <c r="M84" s="9" t="s">
        <v>112</v>
      </c>
      <c r="N84" s="9" t="s">
        <v>112</v>
      </c>
      <c r="O84" s="9" t="s">
        <v>113</v>
      </c>
      <c r="P84" s="9">
        <v>1</v>
      </c>
      <c r="Q84" s="9"/>
      <c r="R84" s="9"/>
      <c r="S84" s="9" t="s">
        <v>114</v>
      </c>
    </row>
    <row r="85" spans="1:19">
      <c r="A85" s="9" t="s">
        <v>19</v>
      </c>
      <c r="B85" s="9" t="s">
        <v>103</v>
      </c>
      <c r="C85" s="9" t="s">
        <v>22</v>
      </c>
      <c r="D85" s="9" t="s">
        <v>531</v>
      </c>
      <c r="E85" s="9" t="s">
        <v>532</v>
      </c>
      <c r="F85" s="9" t="s">
        <v>533</v>
      </c>
      <c r="G85" s="9" t="s">
        <v>532</v>
      </c>
      <c r="H85" s="9" t="s">
        <v>534</v>
      </c>
      <c r="I85" s="9">
        <v>2023</v>
      </c>
      <c r="J85" s="9" t="s">
        <v>130</v>
      </c>
      <c r="K85" s="9" t="s">
        <v>510</v>
      </c>
      <c r="L85" s="9" t="s">
        <v>535</v>
      </c>
      <c r="M85" s="9" t="s">
        <v>112</v>
      </c>
      <c r="N85" s="9" t="s">
        <v>112</v>
      </c>
      <c r="O85" s="9" t="s">
        <v>113</v>
      </c>
      <c r="P85" s="9">
        <v>1</v>
      </c>
      <c r="Q85" s="9"/>
      <c r="R85" s="9"/>
      <c r="S85" s="9" t="s">
        <v>114</v>
      </c>
    </row>
    <row r="86" spans="1:19">
      <c r="A86" s="9" t="s">
        <v>19</v>
      </c>
      <c r="B86" s="9" t="s">
        <v>103</v>
      </c>
      <c r="C86" s="9" t="s">
        <v>22</v>
      </c>
      <c r="D86" s="9" t="s">
        <v>536</v>
      </c>
      <c r="E86" s="9" t="s">
        <v>537</v>
      </c>
      <c r="F86" s="9" t="s">
        <v>538</v>
      </c>
      <c r="G86" s="9" t="s">
        <v>537</v>
      </c>
      <c r="H86" s="9" t="s">
        <v>534</v>
      </c>
      <c r="I86" s="9">
        <v>2023</v>
      </c>
      <c r="J86" s="9" t="s">
        <v>130</v>
      </c>
      <c r="K86" s="9" t="s">
        <v>539</v>
      </c>
      <c r="L86" s="9" t="s">
        <v>540</v>
      </c>
      <c r="M86" s="9" t="s">
        <v>112</v>
      </c>
      <c r="N86" s="9" t="s">
        <v>112</v>
      </c>
      <c r="O86" s="9" t="s">
        <v>113</v>
      </c>
      <c r="P86" s="9">
        <v>1</v>
      </c>
      <c r="Q86" s="9"/>
      <c r="R86" s="9"/>
      <c r="S86" s="9" t="s">
        <v>114</v>
      </c>
    </row>
    <row r="87" spans="1:19">
      <c r="A87" s="9" t="s">
        <v>19</v>
      </c>
      <c r="B87" s="9" t="s">
        <v>103</v>
      </c>
      <c r="C87" s="9" t="s">
        <v>22</v>
      </c>
      <c r="D87" s="9" t="s">
        <v>541</v>
      </c>
      <c r="E87" s="9" t="s">
        <v>542</v>
      </c>
      <c r="F87" s="9" t="s">
        <v>543</v>
      </c>
      <c r="G87" s="9" t="s">
        <v>542</v>
      </c>
      <c r="H87" s="9" t="s">
        <v>534</v>
      </c>
      <c r="I87" s="9">
        <v>2023</v>
      </c>
      <c r="J87" s="9" t="s">
        <v>130</v>
      </c>
      <c r="K87" s="9" t="s">
        <v>544</v>
      </c>
      <c r="L87" s="9" t="s">
        <v>545</v>
      </c>
      <c r="M87" s="9" t="s">
        <v>112</v>
      </c>
      <c r="N87" s="9" t="s">
        <v>112</v>
      </c>
      <c r="O87" s="9" t="s">
        <v>113</v>
      </c>
      <c r="P87" s="9">
        <v>1</v>
      </c>
      <c r="Q87" s="9"/>
      <c r="R87" s="9"/>
      <c r="S87" s="9" t="s">
        <v>114</v>
      </c>
    </row>
    <row r="88" spans="1:19">
      <c r="A88" s="9" t="s">
        <v>19</v>
      </c>
      <c r="B88" s="9" t="s">
        <v>103</v>
      </c>
      <c r="C88" s="9" t="s">
        <v>22</v>
      </c>
      <c r="D88" s="9" t="s">
        <v>546</v>
      </c>
      <c r="E88" s="9" t="s">
        <v>547</v>
      </c>
      <c r="F88" s="9" t="s">
        <v>548</v>
      </c>
      <c r="G88" s="9" t="s">
        <v>547</v>
      </c>
      <c r="H88" s="9" t="s">
        <v>549</v>
      </c>
      <c r="I88" s="9">
        <v>2023</v>
      </c>
      <c r="J88" s="9" t="s">
        <v>130</v>
      </c>
      <c r="K88" s="9" t="s">
        <v>550</v>
      </c>
      <c r="L88" s="9" t="s">
        <v>551</v>
      </c>
      <c r="M88" s="9" t="s">
        <v>112</v>
      </c>
      <c r="N88" s="9" t="s">
        <v>112</v>
      </c>
      <c r="O88" s="9" t="s">
        <v>113</v>
      </c>
      <c r="P88" s="9">
        <v>1</v>
      </c>
      <c r="Q88" s="9"/>
      <c r="R88" s="9"/>
      <c r="S88" s="9" t="s">
        <v>114</v>
      </c>
    </row>
    <row r="89" spans="1:19">
      <c r="A89" s="9" t="s">
        <v>19</v>
      </c>
      <c r="B89" s="9" t="s">
        <v>103</v>
      </c>
      <c r="C89" s="9" t="s">
        <v>22</v>
      </c>
      <c r="D89" s="9" t="s">
        <v>552</v>
      </c>
      <c r="E89" s="9" t="s">
        <v>553</v>
      </c>
      <c r="F89" s="9" t="s">
        <v>554</v>
      </c>
      <c r="G89" s="9" t="s">
        <v>553</v>
      </c>
      <c r="H89" s="9" t="s">
        <v>549</v>
      </c>
      <c r="I89" s="9">
        <v>2023</v>
      </c>
      <c r="J89" s="9" t="s">
        <v>130</v>
      </c>
      <c r="K89" s="9" t="s">
        <v>555</v>
      </c>
      <c r="L89" s="9" t="s">
        <v>556</v>
      </c>
      <c r="M89" s="9" t="s">
        <v>112</v>
      </c>
      <c r="N89" s="9" t="s">
        <v>112</v>
      </c>
      <c r="O89" s="9" t="s">
        <v>113</v>
      </c>
      <c r="P89" s="9">
        <v>1</v>
      </c>
      <c r="Q89" s="9"/>
      <c r="R89" s="9"/>
      <c r="S89" s="9" t="s">
        <v>114</v>
      </c>
    </row>
    <row r="90" spans="1:19">
      <c r="A90" s="9" t="s">
        <v>19</v>
      </c>
      <c r="B90" s="9" t="s">
        <v>103</v>
      </c>
      <c r="C90" s="9" t="s">
        <v>22</v>
      </c>
      <c r="D90" s="9" t="s">
        <v>557</v>
      </c>
      <c r="E90" s="9" t="s">
        <v>558</v>
      </c>
      <c r="F90" s="9" t="s">
        <v>559</v>
      </c>
      <c r="G90" s="9" t="s">
        <v>558</v>
      </c>
      <c r="H90" s="9" t="s">
        <v>549</v>
      </c>
      <c r="I90" s="9">
        <v>2023</v>
      </c>
      <c r="J90" s="9" t="s">
        <v>130</v>
      </c>
      <c r="K90" s="9" t="s">
        <v>560</v>
      </c>
      <c r="L90" s="9" t="s">
        <v>561</v>
      </c>
      <c r="M90" s="9" t="s">
        <v>112</v>
      </c>
      <c r="N90" s="9" t="s">
        <v>112</v>
      </c>
      <c r="O90" s="9" t="s">
        <v>113</v>
      </c>
      <c r="P90" s="9">
        <v>1</v>
      </c>
      <c r="Q90" s="9"/>
      <c r="R90" s="9"/>
      <c r="S90" s="9" t="s">
        <v>114</v>
      </c>
    </row>
    <row r="91" spans="1:19">
      <c r="A91" s="9" t="s">
        <v>19</v>
      </c>
      <c r="B91" s="9" t="s">
        <v>103</v>
      </c>
      <c r="C91" s="9" t="s">
        <v>22</v>
      </c>
      <c r="D91" s="9" t="s">
        <v>562</v>
      </c>
      <c r="E91" s="9" t="s">
        <v>563</v>
      </c>
      <c r="F91" s="9" t="s">
        <v>564</v>
      </c>
      <c r="G91" s="9" t="s">
        <v>563</v>
      </c>
      <c r="H91" s="9" t="s">
        <v>549</v>
      </c>
      <c r="I91" s="9">
        <v>2023</v>
      </c>
      <c r="J91" s="9" t="s">
        <v>130</v>
      </c>
      <c r="K91" s="9" t="s">
        <v>565</v>
      </c>
      <c r="L91" s="9" t="s">
        <v>566</v>
      </c>
      <c r="M91" s="9" t="s">
        <v>112</v>
      </c>
      <c r="N91" s="9" t="s">
        <v>112</v>
      </c>
      <c r="O91" s="9" t="s">
        <v>113</v>
      </c>
      <c r="P91" s="9">
        <v>1</v>
      </c>
      <c r="Q91" s="9"/>
      <c r="R91" s="9"/>
      <c r="S91" s="9" t="s">
        <v>114</v>
      </c>
    </row>
    <row r="92" spans="1:19">
      <c r="A92" s="9" t="s">
        <v>19</v>
      </c>
      <c r="B92" s="9" t="s">
        <v>103</v>
      </c>
      <c r="C92" s="9" t="s">
        <v>22</v>
      </c>
      <c r="D92" s="9" t="s">
        <v>567</v>
      </c>
      <c r="E92" s="9" t="s">
        <v>568</v>
      </c>
      <c r="F92" s="9" t="s">
        <v>569</v>
      </c>
      <c r="G92" s="9" t="s">
        <v>568</v>
      </c>
      <c r="H92" s="9" t="s">
        <v>570</v>
      </c>
      <c r="I92" s="9">
        <v>2023</v>
      </c>
      <c r="J92" s="9" t="s">
        <v>130</v>
      </c>
      <c r="K92" s="9" t="s">
        <v>571</v>
      </c>
      <c r="L92" s="9" t="s">
        <v>572</v>
      </c>
      <c r="M92" s="9" t="s">
        <v>112</v>
      </c>
      <c r="N92" s="9" t="s">
        <v>112</v>
      </c>
      <c r="O92" s="9" t="s">
        <v>113</v>
      </c>
      <c r="P92" s="9">
        <v>1</v>
      </c>
      <c r="Q92" s="9"/>
      <c r="R92" s="9"/>
      <c r="S92" s="9" t="s">
        <v>114</v>
      </c>
    </row>
    <row r="93" spans="1:19">
      <c r="A93" s="9" t="s">
        <v>19</v>
      </c>
      <c r="B93" s="9" t="s">
        <v>103</v>
      </c>
      <c r="C93" s="9" t="s">
        <v>22</v>
      </c>
      <c r="D93" s="9" t="s">
        <v>573</v>
      </c>
      <c r="E93" s="9" t="s">
        <v>574</v>
      </c>
      <c r="F93" s="9" t="s">
        <v>575</v>
      </c>
      <c r="G93" s="9" t="s">
        <v>574</v>
      </c>
      <c r="H93" s="9" t="s">
        <v>570</v>
      </c>
      <c r="I93" s="9">
        <v>2023</v>
      </c>
      <c r="J93" s="9" t="s">
        <v>130</v>
      </c>
      <c r="K93" s="9" t="s">
        <v>576</v>
      </c>
      <c r="L93" s="9" t="s">
        <v>577</v>
      </c>
      <c r="M93" s="9" t="s">
        <v>112</v>
      </c>
      <c r="N93" s="9" t="s">
        <v>112</v>
      </c>
      <c r="O93" s="9" t="s">
        <v>113</v>
      </c>
      <c r="P93" s="9">
        <v>1</v>
      </c>
      <c r="Q93" s="9"/>
      <c r="R93" s="9"/>
      <c r="S93" s="9" t="s">
        <v>114</v>
      </c>
    </row>
    <row r="94" spans="1:19">
      <c r="A94" s="9" t="s">
        <v>19</v>
      </c>
      <c r="B94" s="9" t="s">
        <v>103</v>
      </c>
      <c r="C94" s="9" t="s">
        <v>22</v>
      </c>
      <c r="D94" s="9" t="s">
        <v>578</v>
      </c>
      <c r="E94" s="9" t="s">
        <v>579</v>
      </c>
      <c r="F94" s="9" t="s">
        <v>580</v>
      </c>
      <c r="G94" s="9" t="s">
        <v>579</v>
      </c>
      <c r="H94" s="9" t="s">
        <v>570</v>
      </c>
      <c r="I94" s="9">
        <v>2023</v>
      </c>
      <c r="J94" s="9" t="s">
        <v>130</v>
      </c>
      <c r="K94" s="9" t="s">
        <v>581</v>
      </c>
      <c r="L94" s="9" t="s">
        <v>582</v>
      </c>
      <c r="M94" s="9" t="s">
        <v>112</v>
      </c>
      <c r="N94" s="9" t="s">
        <v>112</v>
      </c>
      <c r="O94" s="9" t="s">
        <v>113</v>
      </c>
      <c r="P94" s="9">
        <v>1</v>
      </c>
      <c r="Q94" s="9"/>
      <c r="R94" s="9"/>
      <c r="S94" s="9" t="s">
        <v>114</v>
      </c>
    </row>
    <row r="95" spans="1:19">
      <c r="A95" s="9" t="s">
        <v>19</v>
      </c>
      <c r="B95" s="9" t="s">
        <v>103</v>
      </c>
      <c r="C95" s="9" t="s">
        <v>22</v>
      </c>
      <c r="D95" s="9" t="s">
        <v>583</v>
      </c>
      <c r="E95" s="9" t="s">
        <v>584</v>
      </c>
      <c r="F95" s="9" t="s">
        <v>569</v>
      </c>
      <c r="G95" s="9" t="s">
        <v>584</v>
      </c>
      <c r="H95" s="9" t="s">
        <v>570</v>
      </c>
      <c r="I95" s="9">
        <v>2023</v>
      </c>
      <c r="J95" s="9" t="s">
        <v>130</v>
      </c>
      <c r="K95" s="9" t="s">
        <v>585</v>
      </c>
      <c r="L95" s="9" t="s">
        <v>586</v>
      </c>
      <c r="M95" s="9" t="s">
        <v>112</v>
      </c>
      <c r="N95" s="9" t="s">
        <v>112</v>
      </c>
      <c r="O95" s="9" t="s">
        <v>113</v>
      </c>
      <c r="P95" s="9">
        <v>1</v>
      </c>
      <c r="Q95" s="9"/>
      <c r="R95" s="9"/>
      <c r="S95" s="9" t="s">
        <v>114</v>
      </c>
    </row>
    <row r="96" spans="1:19">
      <c r="A96" s="9" t="s">
        <v>19</v>
      </c>
      <c r="B96" s="9" t="s">
        <v>103</v>
      </c>
      <c r="C96" s="9" t="s">
        <v>22</v>
      </c>
      <c r="D96" s="9" t="s">
        <v>587</v>
      </c>
      <c r="E96" s="9" t="s">
        <v>588</v>
      </c>
      <c r="F96" s="9" t="s">
        <v>589</v>
      </c>
      <c r="G96" s="9" t="s">
        <v>588</v>
      </c>
      <c r="H96" s="9" t="s">
        <v>570</v>
      </c>
      <c r="I96" s="9">
        <v>2023</v>
      </c>
      <c r="J96" s="9" t="s">
        <v>130</v>
      </c>
      <c r="K96" s="9" t="s">
        <v>590</v>
      </c>
      <c r="L96" s="9" t="s">
        <v>591</v>
      </c>
      <c r="M96" s="9" t="s">
        <v>310</v>
      </c>
      <c r="N96" s="9" t="s">
        <v>310</v>
      </c>
      <c r="O96" s="9" t="s">
        <v>113</v>
      </c>
      <c r="P96" s="9">
        <v>1</v>
      </c>
      <c r="Q96" s="9"/>
      <c r="R96" s="9"/>
      <c r="S96" s="9" t="s">
        <v>114</v>
      </c>
    </row>
    <row r="97" spans="1:19">
      <c r="A97" s="9" t="s">
        <v>19</v>
      </c>
      <c r="B97" s="9" t="s">
        <v>103</v>
      </c>
      <c r="C97" s="9" t="s">
        <v>22</v>
      </c>
      <c r="D97" s="9" t="s">
        <v>592</v>
      </c>
      <c r="E97" s="9" t="s">
        <v>593</v>
      </c>
      <c r="F97" s="9" t="s">
        <v>569</v>
      </c>
      <c r="G97" s="9" t="s">
        <v>593</v>
      </c>
      <c r="H97" s="9" t="s">
        <v>570</v>
      </c>
      <c r="I97" s="9">
        <v>2023</v>
      </c>
      <c r="J97" s="9" t="s">
        <v>130</v>
      </c>
      <c r="K97" s="9" t="s">
        <v>594</v>
      </c>
      <c r="L97" s="9" t="s">
        <v>595</v>
      </c>
      <c r="M97" s="9" t="s">
        <v>112</v>
      </c>
      <c r="N97" s="9" t="s">
        <v>112</v>
      </c>
      <c r="O97" s="9" t="s">
        <v>113</v>
      </c>
      <c r="P97" s="9">
        <v>1</v>
      </c>
      <c r="Q97" s="9"/>
      <c r="R97" s="9"/>
      <c r="S97" s="9" t="s">
        <v>114</v>
      </c>
    </row>
    <row r="98" spans="1:19">
      <c r="A98" s="9" t="s">
        <v>19</v>
      </c>
      <c r="B98" s="9" t="s">
        <v>103</v>
      </c>
      <c r="C98" s="9" t="s">
        <v>22</v>
      </c>
      <c r="D98" s="9" t="s">
        <v>596</v>
      </c>
      <c r="E98" s="9" t="s">
        <v>597</v>
      </c>
      <c r="F98" s="9" t="s">
        <v>598</v>
      </c>
      <c r="G98" s="9" t="s">
        <v>597</v>
      </c>
      <c r="H98" s="9" t="s">
        <v>570</v>
      </c>
      <c r="I98" s="9">
        <v>2023</v>
      </c>
      <c r="J98" s="9" t="s">
        <v>130</v>
      </c>
      <c r="K98" s="9" t="s">
        <v>599</v>
      </c>
      <c r="L98" s="9" t="s">
        <v>600</v>
      </c>
      <c r="M98" s="9" t="s">
        <v>310</v>
      </c>
      <c r="N98" s="9" t="s">
        <v>310</v>
      </c>
      <c r="O98" s="9" t="s">
        <v>113</v>
      </c>
      <c r="P98" s="9">
        <v>1</v>
      </c>
      <c r="Q98" s="9"/>
      <c r="R98" s="9"/>
      <c r="S98" s="9" t="s">
        <v>114</v>
      </c>
    </row>
    <row r="99" spans="1:19">
      <c r="A99" s="9" t="s">
        <v>19</v>
      </c>
      <c r="B99" s="9" t="s">
        <v>103</v>
      </c>
      <c r="C99" s="9" t="s">
        <v>22</v>
      </c>
      <c r="D99" s="9" t="s">
        <v>601</v>
      </c>
      <c r="E99" s="9" t="s">
        <v>602</v>
      </c>
      <c r="F99" s="9" t="s">
        <v>603</v>
      </c>
      <c r="G99" s="9" t="s">
        <v>602</v>
      </c>
      <c r="H99" s="9" t="s">
        <v>570</v>
      </c>
      <c r="I99" s="9">
        <v>2023</v>
      </c>
      <c r="J99" s="9" t="s">
        <v>130</v>
      </c>
      <c r="K99" s="9" t="s">
        <v>604</v>
      </c>
      <c r="L99" s="9" t="s">
        <v>605</v>
      </c>
      <c r="M99" s="9" t="s">
        <v>112</v>
      </c>
      <c r="N99" s="9" t="s">
        <v>112</v>
      </c>
      <c r="O99" s="9" t="s">
        <v>113</v>
      </c>
      <c r="P99" s="9">
        <v>1</v>
      </c>
      <c r="Q99" s="9"/>
      <c r="R99" s="9"/>
      <c r="S99" s="9" t="s">
        <v>114</v>
      </c>
    </row>
    <row r="100" spans="1:19">
      <c r="A100" s="9" t="s">
        <v>19</v>
      </c>
      <c r="B100" s="9" t="s">
        <v>103</v>
      </c>
      <c r="C100" s="9" t="s">
        <v>22</v>
      </c>
      <c r="D100" s="9" t="s">
        <v>606</v>
      </c>
      <c r="E100" s="9" t="s">
        <v>607</v>
      </c>
      <c r="F100" s="9" t="s">
        <v>608</v>
      </c>
      <c r="G100" s="9" t="s">
        <v>607</v>
      </c>
      <c r="H100" s="9" t="s">
        <v>570</v>
      </c>
      <c r="I100" s="9">
        <v>2023</v>
      </c>
      <c r="J100" s="9" t="s">
        <v>130</v>
      </c>
      <c r="K100" s="9" t="s">
        <v>609</v>
      </c>
      <c r="L100" s="9" t="s">
        <v>610</v>
      </c>
      <c r="M100" s="9" t="s">
        <v>112</v>
      </c>
      <c r="N100" s="9" t="s">
        <v>112</v>
      </c>
      <c r="O100" s="9" t="s">
        <v>113</v>
      </c>
      <c r="P100" s="9">
        <v>1</v>
      </c>
      <c r="Q100" s="9"/>
      <c r="R100" s="9"/>
      <c r="S100" s="9" t="s">
        <v>114</v>
      </c>
    </row>
    <row r="101" spans="1:19">
      <c r="A101" s="9" t="s">
        <v>19</v>
      </c>
      <c r="B101" s="9" t="s">
        <v>103</v>
      </c>
      <c r="C101" s="9" t="s">
        <v>22</v>
      </c>
      <c r="D101" s="9" t="s">
        <v>611</v>
      </c>
      <c r="E101" s="9" t="s">
        <v>612</v>
      </c>
      <c r="F101" s="9" t="s">
        <v>598</v>
      </c>
      <c r="G101" s="9" t="s">
        <v>612</v>
      </c>
      <c r="H101" s="9" t="s">
        <v>570</v>
      </c>
      <c r="I101" s="9">
        <v>2023</v>
      </c>
      <c r="J101" s="9" t="s">
        <v>130</v>
      </c>
      <c r="K101" s="9" t="s">
        <v>613</v>
      </c>
      <c r="L101" s="9" t="s">
        <v>614</v>
      </c>
      <c r="M101" s="9" t="s">
        <v>310</v>
      </c>
      <c r="N101" s="9" t="s">
        <v>310</v>
      </c>
      <c r="O101" s="9" t="s">
        <v>113</v>
      </c>
      <c r="P101" s="9">
        <v>1</v>
      </c>
      <c r="Q101" s="9"/>
      <c r="R101" s="9"/>
      <c r="S101" s="9" t="s">
        <v>114</v>
      </c>
    </row>
    <row r="102" spans="1:19">
      <c r="A102" s="9" t="s">
        <v>19</v>
      </c>
      <c r="B102" s="9" t="s">
        <v>103</v>
      </c>
      <c r="C102" s="9" t="s">
        <v>22</v>
      </c>
      <c r="D102" s="9" t="s">
        <v>615</v>
      </c>
      <c r="E102" s="9" t="s">
        <v>616</v>
      </c>
      <c r="F102" s="9" t="s">
        <v>589</v>
      </c>
      <c r="G102" s="9" t="s">
        <v>616</v>
      </c>
      <c r="H102" s="9" t="s">
        <v>570</v>
      </c>
      <c r="I102" s="9">
        <v>2023</v>
      </c>
      <c r="J102" s="9" t="s">
        <v>130</v>
      </c>
      <c r="K102" s="9" t="s">
        <v>617</v>
      </c>
      <c r="L102" s="9" t="s">
        <v>618</v>
      </c>
      <c r="M102" s="9" t="s">
        <v>310</v>
      </c>
      <c r="N102" s="9" t="s">
        <v>310</v>
      </c>
      <c r="O102" s="9" t="s">
        <v>113</v>
      </c>
      <c r="P102" s="9">
        <v>1</v>
      </c>
      <c r="Q102" s="9"/>
      <c r="R102" s="9"/>
      <c r="S102" s="9" t="s">
        <v>114</v>
      </c>
    </row>
    <row r="103" spans="1:19">
      <c r="A103" s="9" t="s">
        <v>19</v>
      </c>
      <c r="B103" s="9" t="s">
        <v>103</v>
      </c>
      <c r="C103" s="9" t="s">
        <v>22</v>
      </c>
      <c r="D103" s="9" t="s">
        <v>619</v>
      </c>
      <c r="E103" s="9" t="s">
        <v>620</v>
      </c>
      <c r="F103" s="9" t="s">
        <v>621</v>
      </c>
      <c r="G103" s="9" t="s">
        <v>620</v>
      </c>
      <c r="H103" s="9" t="s">
        <v>570</v>
      </c>
      <c r="I103" s="9">
        <v>2023</v>
      </c>
      <c r="J103" s="9" t="s">
        <v>130</v>
      </c>
      <c r="K103" s="9" t="s">
        <v>622</v>
      </c>
      <c r="L103" s="9" t="s">
        <v>623</v>
      </c>
      <c r="M103" s="9" t="s">
        <v>112</v>
      </c>
      <c r="N103" s="9" t="s">
        <v>112</v>
      </c>
      <c r="O103" s="9" t="s">
        <v>113</v>
      </c>
      <c r="P103" s="9">
        <v>1</v>
      </c>
      <c r="Q103" s="9"/>
      <c r="R103" s="9"/>
      <c r="S103" s="9" t="s">
        <v>114</v>
      </c>
    </row>
    <row r="104" spans="1:19">
      <c r="A104" s="9" t="s">
        <v>19</v>
      </c>
      <c r="B104" s="9" t="s">
        <v>103</v>
      </c>
      <c r="C104" s="9" t="s">
        <v>22</v>
      </c>
      <c r="D104" s="9" t="s">
        <v>624</v>
      </c>
      <c r="E104" s="9" t="s">
        <v>625</v>
      </c>
      <c r="F104" s="9" t="s">
        <v>626</v>
      </c>
      <c r="G104" s="9" t="s">
        <v>625</v>
      </c>
      <c r="H104" s="9" t="s">
        <v>627</v>
      </c>
      <c r="I104" s="9">
        <v>2023</v>
      </c>
      <c r="J104" s="9" t="s">
        <v>130</v>
      </c>
      <c r="K104" s="9" t="s">
        <v>628</v>
      </c>
      <c r="L104" s="9" t="s">
        <v>252</v>
      </c>
      <c r="M104" s="9" t="s">
        <v>112</v>
      </c>
      <c r="N104" s="9" t="s">
        <v>112</v>
      </c>
      <c r="O104" s="9" t="s">
        <v>113</v>
      </c>
      <c r="P104" s="9">
        <v>1</v>
      </c>
      <c r="Q104" s="9"/>
      <c r="R104" s="9"/>
      <c r="S104" s="9" t="s">
        <v>114</v>
      </c>
    </row>
    <row r="105" spans="1:19">
      <c r="A105" s="9" t="s">
        <v>19</v>
      </c>
      <c r="B105" s="9" t="s">
        <v>103</v>
      </c>
      <c r="C105" s="9" t="s">
        <v>22</v>
      </c>
      <c r="D105" s="9" t="s">
        <v>629</v>
      </c>
      <c r="E105" s="9" t="s">
        <v>630</v>
      </c>
      <c r="F105" s="9" t="s">
        <v>631</v>
      </c>
      <c r="G105" s="9" t="s">
        <v>630</v>
      </c>
      <c r="H105" s="9" t="s">
        <v>632</v>
      </c>
      <c r="I105" s="9">
        <v>2023</v>
      </c>
      <c r="J105" s="9" t="s">
        <v>130</v>
      </c>
      <c r="K105" s="9" t="s">
        <v>633</v>
      </c>
      <c r="L105" s="9" t="s">
        <v>634</v>
      </c>
      <c r="M105" s="9" t="s">
        <v>310</v>
      </c>
      <c r="N105" s="9" t="s">
        <v>310</v>
      </c>
      <c r="O105" s="9" t="s">
        <v>113</v>
      </c>
      <c r="P105" s="9">
        <v>1</v>
      </c>
      <c r="Q105" s="9"/>
      <c r="R105" s="9"/>
      <c r="S105" s="9" t="s">
        <v>114</v>
      </c>
    </row>
    <row r="106" spans="1:19">
      <c r="A106" s="9" t="s">
        <v>19</v>
      </c>
      <c r="B106" s="9" t="s">
        <v>103</v>
      </c>
      <c r="C106" s="9" t="s">
        <v>22</v>
      </c>
      <c r="D106" s="9" t="s">
        <v>635</v>
      </c>
      <c r="E106" s="9" t="s">
        <v>636</v>
      </c>
      <c r="F106" s="9" t="s">
        <v>637</v>
      </c>
      <c r="G106" s="9" t="s">
        <v>636</v>
      </c>
      <c r="H106" s="9" t="s">
        <v>632</v>
      </c>
      <c r="I106" s="9">
        <v>2023</v>
      </c>
      <c r="J106" s="9" t="s">
        <v>130</v>
      </c>
      <c r="K106" s="9" t="s">
        <v>638</v>
      </c>
      <c r="L106" s="9" t="s">
        <v>639</v>
      </c>
      <c r="M106" s="9" t="s">
        <v>310</v>
      </c>
      <c r="N106" s="9" t="s">
        <v>310</v>
      </c>
      <c r="O106" s="9" t="s">
        <v>113</v>
      </c>
      <c r="P106" s="9">
        <v>1</v>
      </c>
      <c r="Q106" s="9"/>
      <c r="R106" s="9"/>
      <c r="S106" s="9" t="s">
        <v>114</v>
      </c>
    </row>
    <row r="107" spans="1:19">
      <c r="A107" s="9" t="s">
        <v>19</v>
      </c>
      <c r="B107" s="9" t="s">
        <v>103</v>
      </c>
      <c r="C107" s="9" t="s">
        <v>22</v>
      </c>
      <c r="D107" s="9" t="s">
        <v>640</v>
      </c>
      <c r="E107" s="9" t="s">
        <v>641</v>
      </c>
      <c r="F107" s="9" t="s">
        <v>642</v>
      </c>
      <c r="G107" s="9" t="s">
        <v>641</v>
      </c>
      <c r="H107" s="9" t="s">
        <v>632</v>
      </c>
      <c r="I107" s="9">
        <v>2023</v>
      </c>
      <c r="J107" s="9" t="s">
        <v>130</v>
      </c>
      <c r="K107" s="9" t="s">
        <v>643</v>
      </c>
      <c r="L107" s="9" t="s">
        <v>644</v>
      </c>
      <c r="M107" s="9" t="s">
        <v>112</v>
      </c>
      <c r="N107" s="9" t="s">
        <v>112</v>
      </c>
      <c r="O107" s="9" t="s">
        <v>113</v>
      </c>
      <c r="P107" s="9">
        <v>1</v>
      </c>
      <c r="Q107" s="9"/>
      <c r="R107" s="9"/>
      <c r="S107" s="9" t="s">
        <v>114</v>
      </c>
    </row>
    <row r="108" spans="1:19">
      <c r="A108" s="9" t="s">
        <v>19</v>
      </c>
      <c r="B108" s="9" t="s">
        <v>103</v>
      </c>
      <c r="C108" s="9" t="s">
        <v>22</v>
      </c>
      <c r="D108" s="9" t="s">
        <v>645</v>
      </c>
      <c r="E108" s="9" t="s">
        <v>646</v>
      </c>
      <c r="F108" s="9" t="s">
        <v>647</v>
      </c>
      <c r="G108" s="9" t="s">
        <v>646</v>
      </c>
      <c r="H108" s="9" t="s">
        <v>632</v>
      </c>
      <c r="I108" s="9">
        <v>2023</v>
      </c>
      <c r="J108" s="9" t="s">
        <v>130</v>
      </c>
      <c r="K108" s="9" t="s">
        <v>648</v>
      </c>
      <c r="L108" s="9" t="s">
        <v>649</v>
      </c>
      <c r="M108" s="9" t="s">
        <v>112</v>
      </c>
      <c r="N108" s="9" t="s">
        <v>112</v>
      </c>
      <c r="O108" s="9" t="s">
        <v>113</v>
      </c>
      <c r="P108" s="9">
        <v>1</v>
      </c>
      <c r="Q108" s="9"/>
      <c r="R108" s="9"/>
      <c r="S108" s="9" t="s">
        <v>114</v>
      </c>
    </row>
    <row r="109" spans="1:19">
      <c r="A109" s="9" t="s">
        <v>19</v>
      </c>
      <c r="B109" s="9" t="s">
        <v>103</v>
      </c>
      <c r="C109" s="9" t="s">
        <v>22</v>
      </c>
      <c r="D109" s="9" t="s">
        <v>650</v>
      </c>
      <c r="E109" s="9" t="s">
        <v>651</v>
      </c>
      <c r="F109" s="9" t="s">
        <v>642</v>
      </c>
      <c r="G109" s="9" t="s">
        <v>651</v>
      </c>
      <c r="H109" s="9" t="s">
        <v>632</v>
      </c>
      <c r="I109" s="9">
        <v>2023</v>
      </c>
      <c r="J109" s="9" t="s">
        <v>130</v>
      </c>
      <c r="K109" s="9" t="s">
        <v>652</v>
      </c>
      <c r="L109" s="9" t="s">
        <v>653</v>
      </c>
      <c r="M109" s="9" t="s">
        <v>310</v>
      </c>
      <c r="N109" s="9" t="s">
        <v>310</v>
      </c>
      <c r="O109" s="9" t="s">
        <v>113</v>
      </c>
      <c r="P109" s="9">
        <v>1</v>
      </c>
      <c r="Q109" s="9"/>
      <c r="R109" s="9"/>
      <c r="S109" s="9" t="s">
        <v>114</v>
      </c>
    </row>
    <row r="110" spans="1:19">
      <c r="A110" s="9" t="s">
        <v>19</v>
      </c>
      <c r="B110" s="9" t="s">
        <v>103</v>
      </c>
      <c r="C110" s="9" t="s">
        <v>22</v>
      </c>
      <c r="D110" s="9" t="s">
        <v>654</v>
      </c>
      <c r="E110" s="9" t="s">
        <v>655</v>
      </c>
      <c r="F110" s="9" t="s">
        <v>642</v>
      </c>
      <c r="G110" s="9" t="s">
        <v>655</v>
      </c>
      <c r="H110" s="9" t="s">
        <v>632</v>
      </c>
      <c r="I110" s="9">
        <v>2023</v>
      </c>
      <c r="J110" s="9" t="s">
        <v>130</v>
      </c>
      <c r="K110" s="9" t="s">
        <v>656</v>
      </c>
      <c r="L110" s="9" t="s">
        <v>657</v>
      </c>
      <c r="M110" s="9" t="s">
        <v>310</v>
      </c>
      <c r="N110" s="9" t="s">
        <v>310</v>
      </c>
      <c r="O110" s="9" t="s">
        <v>113</v>
      </c>
      <c r="P110" s="9">
        <v>1</v>
      </c>
      <c r="Q110" s="9"/>
      <c r="R110" s="9"/>
      <c r="S110" s="9" t="s">
        <v>114</v>
      </c>
    </row>
    <row r="111" spans="1:19">
      <c r="A111" s="9" t="s">
        <v>19</v>
      </c>
      <c r="B111" s="9" t="s">
        <v>103</v>
      </c>
      <c r="C111" s="9" t="s">
        <v>22</v>
      </c>
      <c r="D111" s="9" t="s">
        <v>658</v>
      </c>
      <c r="E111" s="9" t="s">
        <v>659</v>
      </c>
      <c r="F111" s="9" t="s">
        <v>660</v>
      </c>
      <c r="G111" s="9" t="s">
        <v>661</v>
      </c>
      <c r="H111" s="9" t="s">
        <v>662</v>
      </c>
      <c r="I111" s="9">
        <v>2023</v>
      </c>
      <c r="J111" s="9" t="s">
        <v>158</v>
      </c>
      <c r="K111" s="9" t="s">
        <v>246</v>
      </c>
      <c r="L111" s="9" t="s">
        <v>663</v>
      </c>
      <c r="M111" s="9" t="s">
        <v>182</v>
      </c>
      <c r="N111" s="9" t="s">
        <v>182</v>
      </c>
      <c r="O111" s="9" t="s">
        <v>113</v>
      </c>
      <c r="P111" s="9">
        <v>1</v>
      </c>
      <c r="Q111" s="9"/>
      <c r="R111" s="9"/>
      <c r="S111" s="9" t="s">
        <v>114</v>
      </c>
    </row>
    <row r="112" spans="1:19">
      <c r="A112" s="9" t="s">
        <v>19</v>
      </c>
      <c r="B112" s="9" t="s">
        <v>103</v>
      </c>
      <c r="C112" s="9" t="s">
        <v>22</v>
      </c>
      <c r="D112" s="9" t="s">
        <v>664</v>
      </c>
      <c r="E112" s="9" t="s">
        <v>665</v>
      </c>
      <c r="F112" s="9" t="s">
        <v>660</v>
      </c>
      <c r="G112" s="9" t="s">
        <v>666</v>
      </c>
      <c r="H112" s="9" t="s">
        <v>662</v>
      </c>
      <c r="I112" s="9">
        <v>2023</v>
      </c>
      <c r="J112" s="9" t="s">
        <v>158</v>
      </c>
      <c r="K112" s="9" t="s">
        <v>259</v>
      </c>
      <c r="L112" s="9" t="s">
        <v>667</v>
      </c>
      <c r="M112" s="9" t="s">
        <v>182</v>
      </c>
      <c r="N112" s="9" t="s">
        <v>182</v>
      </c>
      <c r="O112" s="9" t="s">
        <v>113</v>
      </c>
      <c r="P112" s="9">
        <v>1</v>
      </c>
      <c r="Q112" s="9"/>
      <c r="R112" s="9"/>
      <c r="S112" s="9" t="s">
        <v>114</v>
      </c>
    </row>
    <row r="113" spans="1:19">
      <c r="A113" s="9" t="s">
        <v>19</v>
      </c>
      <c r="B113" s="9" t="s">
        <v>103</v>
      </c>
      <c r="C113" s="9" t="s">
        <v>22</v>
      </c>
      <c r="D113" s="9" t="s">
        <v>668</v>
      </c>
      <c r="E113" s="9" t="s">
        <v>669</v>
      </c>
      <c r="F113" s="9" t="s">
        <v>632</v>
      </c>
      <c r="G113" s="9" t="s">
        <v>669</v>
      </c>
      <c r="H113" s="9" t="s">
        <v>670</v>
      </c>
      <c r="I113" s="9">
        <v>2023</v>
      </c>
      <c r="J113" s="9" t="s">
        <v>130</v>
      </c>
      <c r="K113" s="9" t="s">
        <v>671</v>
      </c>
      <c r="L113" s="9" t="s">
        <v>672</v>
      </c>
      <c r="M113" s="9" t="s">
        <v>112</v>
      </c>
      <c r="N113" s="9" t="s">
        <v>112</v>
      </c>
      <c r="O113" s="9" t="s">
        <v>113</v>
      </c>
      <c r="P113" s="9">
        <v>1</v>
      </c>
      <c r="Q113" s="9"/>
      <c r="R113" s="9"/>
      <c r="S113" s="9" t="s">
        <v>114</v>
      </c>
    </row>
    <row r="114" spans="1:19">
      <c r="A114" s="9" t="s">
        <v>19</v>
      </c>
      <c r="B114" s="9" t="s">
        <v>103</v>
      </c>
      <c r="C114" s="9" t="s">
        <v>22</v>
      </c>
      <c r="D114" s="9" t="s">
        <v>673</v>
      </c>
      <c r="E114" s="9" t="s">
        <v>674</v>
      </c>
      <c r="F114" s="9" t="s">
        <v>155</v>
      </c>
      <c r="G114" s="9" t="s">
        <v>675</v>
      </c>
      <c r="H114" s="9" t="s">
        <v>676</v>
      </c>
      <c r="I114" s="9">
        <v>2023</v>
      </c>
      <c r="J114" s="9" t="s">
        <v>677</v>
      </c>
      <c r="K114" s="9" t="s">
        <v>678</v>
      </c>
      <c r="L114" s="9" t="s">
        <v>679</v>
      </c>
      <c r="M114" s="9" t="s">
        <v>161</v>
      </c>
      <c r="N114" s="9" t="s">
        <v>161</v>
      </c>
      <c r="O114" s="9" t="s">
        <v>113</v>
      </c>
      <c r="P114" s="9">
        <v>1</v>
      </c>
      <c r="Q114" s="9"/>
      <c r="R114" s="9"/>
      <c r="S114" s="9" t="s">
        <v>114</v>
      </c>
    </row>
    <row r="115" spans="1:19">
      <c r="A115" s="9" t="s">
        <v>19</v>
      </c>
      <c r="B115" s="9" t="s">
        <v>103</v>
      </c>
      <c r="C115" s="9" t="s">
        <v>22</v>
      </c>
      <c r="D115" s="9" t="s">
        <v>680</v>
      </c>
      <c r="E115" s="9" t="s">
        <v>681</v>
      </c>
      <c r="F115" s="9" t="s">
        <v>164</v>
      </c>
      <c r="G115" s="9" t="s">
        <v>682</v>
      </c>
      <c r="H115" s="9" t="s">
        <v>676</v>
      </c>
      <c r="I115" s="9">
        <v>2023</v>
      </c>
      <c r="J115" s="9" t="s">
        <v>677</v>
      </c>
      <c r="K115" s="9" t="s">
        <v>683</v>
      </c>
      <c r="L115" s="9" t="s">
        <v>684</v>
      </c>
      <c r="M115" s="9" t="s">
        <v>161</v>
      </c>
      <c r="N115" s="9" t="s">
        <v>161</v>
      </c>
      <c r="O115" s="9" t="s">
        <v>113</v>
      </c>
      <c r="P115" s="9">
        <v>1</v>
      </c>
      <c r="Q115" s="9"/>
      <c r="R115" s="9"/>
      <c r="S115" s="9" t="s">
        <v>114</v>
      </c>
    </row>
    <row r="116" spans="1:19">
      <c r="A116" s="9" t="s">
        <v>19</v>
      </c>
      <c r="B116" s="9" t="s">
        <v>103</v>
      </c>
      <c r="C116" s="9" t="s">
        <v>22</v>
      </c>
      <c r="D116" s="9" t="s">
        <v>685</v>
      </c>
      <c r="E116" s="9" t="s">
        <v>686</v>
      </c>
      <c r="F116" s="9" t="s">
        <v>631</v>
      </c>
      <c r="G116" s="9" t="s">
        <v>686</v>
      </c>
      <c r="H116" s="9" t="s">
        <v>687</v>
      </c>
      <c r="I116" s="9">
        <v>2023</v>
      </c>
      <c r="J116" s="9" t="s">
        <v>130</v>
      </c>
      <c r="K116" s="9" t="s">
        <v>688</v>
      </c>
      <c r="L116" s="9" t="s">
        <v>689</v>
      </c>
      <c r="M116" s="9" t="s">
        <v>112</v>
      </c>
      <c r="N116" s="9" t="s">
        <v>112</v>
      </c>
      <c r="O116" s="9" t="s">
        <v>113</v>
      </c>
      <c r="P116" s="9">
        <v>1</v>
      </c>
      <c r="Q116" s="9"/>
      <c r="R116" s="9"/>
      <c r="S116" s="9" t="s">
        <v>114</v>
      </c>
    </row>
    <row r="117" spans="1:19">
      <c r="A117" s="9" t="s">
        <v>19</v>
      </c>
      <c r="B117" s="9" t="s">
        <v>103</v>
      </c>
      <c r="C117" s="9" t="s">
        <v>22</v>
      </c>
      <c r="D117" s="9" t="s">
        <v>690</v>
      </c>
      <c r="E117" s="9" t="s">
        <v>691</v>
      </c>
      <c r="F117" s="9" t="s">
        <v>306</v>
      </c>
      <c r="G117" s="9" t="s">
        <v>692</v>
      </c>
      <c r="H117" s="9" t="s">
        <v>693</v>
      </c>
      <c r="I117" s="9">
        <v>2023</v>
      </c>
      <c r="J117" s="9" t="s">
        <v>158</v>
      </c>
      <c r="K117" s="9" t="s">
        <v>264</v>
      </c>
      <c r="L117" s="9" t="s">
        <v>694</v>
      </c>
      <c r="M117" s="9" t="s">
        <v>112</v>
      </c>
      <c r="N117" s="9" t="s">
        <v>112</v>
      </c>
      <c r="O117" s="9" t="s">
        <v>113</v>
      </c>
      <c r="P117" s="9">
        <v>1</v>
      </c>
      <c r="Q117" s="9"/>
      <c r="R117" s="9"/>
      <c r="S117" s="9" t="s">
        <v>114</v>
      </c>
    </row>
    <row r="118" spans="1:19">
      <c r="A118" s="9" t="s">
        <v>19</v>
      </c>
      <c r="B118" s="9" t="s">
        <v>103</v>
      </c>
      <c r="C118" s="9" t="s">
        <v>22</v>
      </c>
      <c r="D118" s="9" t="s">
        <v>695</v>
      </c>
      <c r="E118" s="9" t="s">
        <v>696</v>
      </c>
      <c r="F118" s="9" t="s">
        <v>215</v>
      </c>
      <c r="G118" s="9" t="s">
        <v>696</v>
      </c>
      <c r="H118" s="9" t="s">
        <v>697</v>
      </c>
      <c r="I118" s="9">
        <v>2023</v>
      </c>
      <c r="J118" s="9" t="s">
        <v>130</v>
      </c>
      <c r="K118" s="9" t="s">
        <v>698</v>
      </c>
      <c r="L118" s="9" t="s">
        <v>252</v>
      </c>
      <c r="M118" s="9" t="s">
        <v>112</v>
      </c>
      <c r="N118" s="9" t="s">
        <v>112</v>
      </c>
      <c r="O118" s="9" t="s">
        <v>113</v>
      </c>
      <c r="P118" s="9">
        <v>1</v>
      </c>
      <c r="Q118" s="9"/>
      <c r="R118" s="9"/>
      <c r="S118" s="9" t="s">
        <v>114</v>
      </c>
    </row>
    <row r="119" spans="1:19">
      <c r="A119" s="9" t="s">
        <v>19</v>
      </c>
      <c r="B119" s="9" t="s">
        <v>103</v>
      </c>
      <c r="C119" s="9" t="s">
        <v>22</v>
      </c>
      <c r="D119" s="9" t="s">
        <v>699</v>
      </c>
      <c r="E119" s="9" t="s">
        <v>700</v>
      </c>
      <c r="F119" s="9" t="s">
        <v>701</v>
      </c>
      <c r="G119" s="9" t="s">
        <v>702</v>
      </c>
      <c r="H119" s="9" t="s">
        <v>703</v>
      </c>
      <c r="I119" s="9">
        <v>2023</v>
      </c>
      <c r="J119" s="9" t="s">
        <v>158</v>
      </c>
      <c r="K119" s="9" t="s">
        <v>704</v>
      </c>
      <c r="L119" s="9" t="s">
        <v>705</v>
      </c>
      <c r="M119" s="9" t="s">
        <v>112</v>
      </c>
      <c r="N119" s="9" t="s">
        <v>112</v>
      </c>
      <c r="O119" s="9" t="s">
        <v>113</v>
      </c>
      <c r="P119" s="9">
        <v>1</v>
      </c>
      <c r="Q119" s="9"/>
      <c r="R119" s="9"/>
      <c r="S119" s="9" t="s">
        <v>114</v>
      </c>
    </row>
    <row r="120" spans="1:19">
      <c r="A120" s="9" t="s">
        <v>19</v>
      </c>
      <c r="B120" s="9" t="s">
        <v>103</v>
      </c>
      <c r="C120" s="9" t="s">
        <v>22</v>
      </c>
      <c r="D120" s="9" t="s">
        <v>706</v>
      </c>
      <c r="E120" s="9" t="s">
        <v>707</v>
      </c>
      <c r="F120" s="9" t="s">
        <v>708</v>
      </c>
      <c r="G120" s="9" t="s">
        <v>709</v>
      </c>
      <c r="H120" s="9" t="s">
        <v>710</v>
      </c>
      <c r="I120" s="9">
        <v>2023</v>
      </c>
      <c r="J120" s="9" t="s">
        <v>158</v>
      </c>
      <c r="K120" s="9" t="s">
        <v>711</v>
      </c>
      <c r="L120" s="9" t="s">
        <v>712</v>
      </c>
      <c r="M120" s="9" t="s">
        <v>112</v>
      </c>
      <c r="N120" s="9" t="s">
        <v>112</v>
      </c>
      <c r="O120" s="9" t="s">
        <v>113</v>
      </c>
      <c r="P120" s="9">
        <v>1</v>
      </c>
      <c r="Q120" s="9"/>
      <c r="R120" s="9"/>
      <c r="S120" s="9" t="s">
        <v>114</v>
      </c>
    </row>
    <row r="121" spans="1:19">
      <c r="A121" s="9" t="s">
        <v>19</v>
      </c>
      <c r="B121" s="9" t="s">
        <v>103</v>
      </c>
      <c r="C121" s="9" t="s">
        <v>22</v>
      </c>
      <c r="D121" s="9" t="s">
        <v>713</v>
      </c>
      <c r="E121" s="9" t="s">
        <v>714</v>
      </c>
      <c r="F121" s="9" t="s">
        <v>368</v>
      </c>
      <c r="G121" s="9" t="s">
        <v>715</v>
      </c>
      <c r="H121" s="9" t="s">
        <v>710</v>
      </c>
      <c r="I121" s="9">
        <v>2023</v>
      </c>
      <c r="J121" s="9" t="s">
        <v>158</v>
      </c>
      <c r="K121" s="9" t="s">
        <v>216</v>
      </c>
      <c r="L121" s="9" t="s">
        <v>716</v>
      </c>
      <c r="M121" s="9" t="s">
        <v>112</v>
      </c>
      <c r="N121" s="9" t="s">
        <v>112</v>
      </c>
      <c r="O121" s="9" t="s">
        <v>113</v>
      </c>
      <c r="P121" s="9">
        <v>1</v>
      </c>
      <c r="Q121" s="9"/>
      <c r="R121" s="9"/>
      <c r="S121" s="9" t="s">
        <v>114</v>
      </c>
    </row>
    <row r="122" spans="1:19">
      <c r="A122" s="9" t="s">
        <v>19</v>
      </c>
      <c r="B122" s="9" t="s">
        <v>103</v>
      </c>
      <c r="C122" s="9" t="s">
        <v>22</v>
      </c>
      <c r="D122" s="9" t="s">
        <v>717</v>
      </c>
      <c r="E122" s="9" t="s">
        <v>718</v>
      </c>
      <c r="F122" s="9" t="s">
        <v>425</v>
      </c>
      <c r="G122" s="9" t="s">
        <v>719</v>
      </c>
      <c r="H122" s="9" t="s">
        <v>720</v>
      </c>
      <c r="I122" s="9">
        <v>2023</v>
      </c>
      <c r="J122" s="9" t="s">
        <v>158</v>
      </c>
      <c r="K122" s="9" t="s">
        <v>721</v>
      </c>
      <c r="L122" s="9" t="s">
        <v>722</v>
      </c>
      <c r="M122" s="9" t="s">
        <v>182</v>
      </c>
      <c r="N122" s="9" t="s">
        <v>182</v>
      </c>
      <c r="O122" s="9" t="s">
        <v>113</v>
      </c>
      <c r="P122" s="9">
        <v>1</v>
      </c>
      <c r="Q122" s="9"/>
      <c r="R122" s="9"/>
      <c r="S122" s="9" t="s">
        <v>114</v>
      </c>
    </row>
    <row r="123" spans="1:19">
      <c r="A123" s="9" t="s">
        <v>19</v>
      </c>
      <c r="B123" s="9" t="s">
        <v>103</v>
      </c>
      <c r="C123" s="9" t="s">
        <v>22</v>
      </c>
      <c r="D123" s="9" t="s">
        <v>723</v>
      </c>
      <c r="E123" s="9" t="s">
        <v>724</v>
      </c>
      <c r="F123" s="9" t="s">
        <v>725</v>
      </c>
      <c r="G123" s="9" t="s">
        <v>726</v>
      </c>
      <c r="H123" s="9" t="s">
        <v>727</v>
      </c>
      <c r="I123" s="9">
        <v>2023</v>
      </c>
      <c r="J123" s="9" t="s">
        <v>158</v>
      </c>
      <c r="K123" s="9" t="s">
        <v>576</v>
      </c>
      <c r="L123" s="9" t="s">
        <v>728</v>
      </c>
      <c r="M123" s="9" t="s">
        <v>182</v>
      </c>
      <c r="N123" s="9" t="s">
        <v>182</v>
      </c>
      <c r="O123" s="9" t="s">
        <v>113</v>
      </c>
      <c r="P123" s="9">
        <v>1</v>
      </c>
      <c r="Q123" s="9"/>
      <c r="R123" s="9"/>
      <c r="S123" s="9" t="s">
        <v>114</v>
      </c>
    </row>
    <row r="124" spans="1:19">
      <c r="A124" s="9" t="s">
        <v>19</v>
      </c>
      <c r="B124" s="9" t="s">
        <v>103</v>
      </c>
      <c r="C124" s="9" t="s">
        <v>22</v>
      </c>
      <c r="D124" s="9" t="s">
        <v>729</v>
      </c>
      <c r="E124" s="9" t="s">
        <v>730</v>
      </c>
      <c r="F124" s="9" t="s">
        <v>725</v>
      </c>
      <c r="G124" s="9" t="s">
        <v>730</v>
      </c>
      <c r="H124" s="9" t="s">
        <v>727</v>
      </c>
      <c r="I124" s="9">
        <v>2023</v>
      </c>
      <c r="J124" s="9" t="s">
        <v>731</v>
      </c>
      <c r="K124" s="9" t="s">
        <v>576</v>
      </c>
      <c r="L124" s="9" t="s">
        <v>728</v>
      </c>
      <c r="M124" s="9" t="s">
        <v>182</v>
      </c>
      <c r="N124" s="9" t="s">
        <v>182</v>
      </c>
      <c r="O124" s="9" t="s">
        <v>113</v>
      </c>
      <c r="P124" s="9">
        <v>1</v>
      </c>
      <c r="Q124" s="9"/>
      <c r="R124" s="9"/>
      <c r="S124" s="9" t="s">
        <v>114</v>
      </c>
    </row>
    <row r="125" spans="1:19">
      <c r="A125" s="9" t="s">
        <v>19</v>
      </c>
      <c r="B125" s="9" t="s">
        <v>103</v>
      </c>
      <c r="C125" s="9" t="s">
        <v>22</v>
      </c>
      <c r="D125" s="9" t="s">
        <v>732</v>
      </c>
      <c r="E125" s="9" t="s">
        <v>733</v>
      </c>
      <c r="F125" s="9" t="s">
        <v>734</v>
      </c>
      <c r="G125" s="9" t="s">
        <v>733</v>
      </c>
      <c r="H125" s="9" t="s">
        <v>735</v>
      </c>
      <c r="I125" s="9">
        <v>2023</v>
      </c>
      <c r="J125" s="9" t="s">
        <v>130</v>
      </c>
      <c r="K125" s="9" t="s">
        <v>736</v>
      </c>
      <c r="L125" s="9" t="s">
        <v>737</v>
      </c>
      <c r="M125" s="9" t="s">
        <v>112</v>
      </c>
      <c r="N125" s="9" t="s">
        <v>112</v>
      </c>
      <c r="O125" s="9" t="s">
        <v>113</v>
      </c>
      <c r="P125" s="9">
        <v>1</v>
      </c>
      <c r="Q125" s="9"/>
      <c r="R125" s="9"/>
      <c r="S125" s="9" t="s">
        <v>114</v>
      </c>
    </row>
    <row r="126" spans="1:19">
      <c r="A126" s="9" t="s">
        <v>19</v>
      </c>
      <c r="B126" s="9" t="s">
        <v>103</v>
      </c>
      <c r="C126" s="9" t="s">
        <v>22</v>
      </c>
      <c r="D126" s="9" t="s">
        <v>738</v>
      </c>
      <c r="E126" s="9" t="s">
        <v>739</v>
      </c>
      <c r="F126" s="9" t="s">
        <v>740</v>
      </c>
      <c r="G126" s="9" t="s">
        <v>739</v>
      </c>
      <c r="H126" s="9" t="s">
        <v>741</v>
      </c>
      <c r="I126" s="9">
        <v>2023</v>
      </c>
      <c r="J126" s="9" t="s">
        <v>130</v>
      </c>
      <c r="K126" s="9" t="s">
        <v>742</v>
      </c>
      <c r="L126" s="9" t="s">
        <v>743</v>
      </c>
      <c r="M126" s="9" t="s">
        <v>112</v>
      </c>
      <c r="N126" s="9" t="s">
        <v>112</v>
      </c>
      <c r="O126" s="9" t="s">
        <v>113</v>
      </c>
      <c r="P126" s="9">
        <v>1</v>
      </c>
      <c r="Q126" s="9"/>
      <c r="R126" s="9"/>
      <c r="S126" s="9" t="s">
        <v>114</v>
      </c>
    </row>
    <row r="127" spans="1:19">
      <c r="A127" s="9" t="s">
        <v>19</v>
      </c>
      <c r="B127" s="9" t="s">
        <v>103</v>
      </c>
      <c r="C127" s="9" t="s">
        <v>22</v>
      </c>
      <c r="D127" s="9" t="s">
        <v>744</v>
      </c>
      <c r="E127" s="9" t="s">
        <v>745</v>
      </c>
      <c r="F127" s="9" t="s">
        <v>746</v>
      </c>
      <c r="G127" s="9" t="s">
        <v>745</v>
      </c>
      <c r="H127" s="9" t="s">
        <v>741</v>
      </c>
      <c r="I127" s="9">
        <v>2023</v>
      </c>
      <c r="J127" s="9" t="s">
        <v>130</v>
      </c>
      <c r="K127" s="9" t="s">
        <v>747</v>
      </c>
      <c r="L127" s="9" t="s">
        <v>748</v>
      </c>
      <c r="M127" s="9" t="s">
        <v>112</v>
      </c>
      <c r="N127" s="9" t="s">
        <v>112</v>
      </c>
      <c r="O127" s="9" t="s">
        <v>113</v>
      </c>
      <c r="P127" s="9">
        <v>1</v>
      </c>
      <c r="Q127" s="9"/>
      <c r="R127" s="9"/>
      <c r="S127" s="9" t="s">
        <v>114</v>
      </c>
    </row>
    <row r="128" spans="1:19">
      <c r="A128" s="9" t="s">
        <v>19</v>
      </c>
      <c r="B128" s="9" t="s">
        <v>103</v>
      </c>
      <c r="C128" s="9" t="s">
        <v>22</v>
      </c>
      <c r="D128" s="9" t="s">
        <v>749</v>
      </c>
      <c r="E128" s="9" t="s">
        <v>750</v>
      </c>
      <c r="F128" s="9" t="s">
        <v>751</v>
      </c>
      <c r="G128" s="9" t="s">
        <v>750</v>
      </c>
      <c r="H128" s="9" t="s">
        <v>752</v>
      </c>
      <c r="I128" s="9">
        <v>2023</v>
      </c>
      <c r="J128" s="9" t="s">
        <v>130</v>
      </c>
      <c r="K128" s="9" t="s">
        <v>753</v>
      </c>
      <c r="L128" s="9" t="s">
        <v>754</v>
      </c>
      <c r="M128" s="9" t="s">
        <v>112</v>
      </c>
      <c r="N128" s="9" t="s">
        <v>112</v>
      </c>
      <c r="O128" s="9" t="s">
        <v>113</v>
      </c>
      <c r="P128" s="9">
        <v>1</v>
      </c>
      <c r="Q128" s="9"/>
      <c r="R128" s="9"/>
      <c r="S128" s="9" t="s">
        <v>114</v>
      </c>
    </row>
    <row r="129" spans="1:19">
      <c r="A129" s="9" t="s">
        <v>19</v>
      </c>
      <c r="B129" s="9" t="s">
        <v>103</v>
      </c>
      <c r="C129" s="9" t="s">
        <v>22</v>
      </c>
      <c r="D129" s="9" t="s">
        <v>755</v>
      </c>
      <c r="E129" s="9" t="s">
        <v>756</v>
      </c>
      <c r="F129" s="9" t="s">
        <v>757</v>
      </c>
      <c r="G129" s="9" t="s">
        <v>756</v>
      </c>
      <c r="H129" s="9" t="s">
        <v>752</v>
      </c>
      <c r="I129" s="9">
        <v>2023</v>
      </c>
      <c r="J129" s="9" t="s">
        <v>130</v>
      </c>
      <c r="K129" s="9" t="s">
        <v>758</v>
      </c>
      <c r="L129" s="9" t="s">
        <v>759</v>
      </c>
      <c r="M129" s="9" t="s">
        <v>112</v>
      </c>
      <c r="N129" s="9" t="s">
        <v>112</v>
      </c>
      <c r="O129" s="9" t="s">
        <v>113</v>
      </c>
      <c r="P129" s="9">
        <v>1</v>
      </c>
      <c r="Q129" s="9"/>
      <c r="R129" s="9"/>
      <c r="S129" s="9" t="s">
        <v>114</v>
      </c>
    </row>
    <row r="130" spans="1:19">
      <c r="A130" s="9" t="s">
        <v>19</v>
      </c>
      <c r="B130" s="9" t="s">
        <v>103</v>
      </c>
      <c r="C130" s="9" t="s">
        <v>22</v>
      </c>
      <c r="D130" s="9" t="s">
        <v>760</v>
      </c>
      <c r="E130" s="9" t="s">
        <v>761</v>
      </c>
      <c r="F130" s="9" t="s">
        <v>762</v>
      </c>
      <c r="G130" s="9" t="s">
        <v>761</v>
      </c>
      <c r="H130" s="9" t="s">
        <v>752</v>
      </c>
      <c r="I130" s="9">
        <v>2023</v>
      </c>
      <c r="J130" s="9" t="s">
        <v>130</v>
      </c>
      <c r="K130" s="9" t="s">
        <v>763</v>
      </c>
      <c r="L130" s="9" t="s">
        <v>764</v>
      </c>
      <c r="M130" s="9" t="s">
        <v>112</v>
      </c>
      <c r="N130" s="9" t="s">
        <v>112</v>
      </c>
      <c r="O130" s="9" t="s">
        <v>113</v>
      </c>
      <c r="P130" s="9">
        <v>1</v>
      </c>
      <c r="Q130" s="9"/>
      <c r="R130" s="9"/>
      <c r="S130" s="9" t="s">
        <v>114</v>
      </c>
    </row>
    <row r="131" spans="1:19">
      <c r="A131" s="9" t="s">
        <v>19</v>
      </c>
      <c r="B131" s="9" t="s">
        <v>103</v>
      </c>
      <c r="C131" s="9" t="s">
        <v>22</v>
      </c>
      <c r="D131" s="9" t="s">
        <v>765</v>
      </c>
      <c r="E131" s="9" t="s">
        <v>766</v>
      </c>
      <c r="F131" s="9" t="s">
        <v>767</v>
      </c>
      <c r="G131" s="9" t="s">
        <v>766</v>
      </c>
      <c r="H131" s="9" t="s">
        <v>752</v>
      </c>
      <c r="I131" s="9">
        <v>2023</v>
      </c>
      <c r="J131" s="9" t="s">
        <v>130</v>
      </c>
      <c r="K131" s="9" t="s">
        <v>768</v>
      </c>
      <c r="L131" s="9" t="s">
        <v>769</v>
      </c>
      <c r="M131" s="9" t="s">
        <v>112</v>
      </c>
      <c r="N131" s="9" t="s">
        <v>112</v>
      </c>
      <c r="O131" s="9" t="s">
        <v>113</v>
      </c>
      <c r="P131" s="9">
        <v>1</v>
      </c>
      <c r="Q131" s="9"/>
      <c r="R131" s="9"/>
      <c r="S131" s="9" t="s">
        <v>114</v>
      </c>
    </row>
    <row r="132" spans="1:19">
      <c r="A132" s="9" t="s">
        <v>19</v>
      </c>
      <c r="B132" s="9" t="s">
        <v>103</v>
      </c>
      <c r="C132" s="9" t="s">
        <v>22</v>
      </c>
      <c r="D132" s="9" t="s">
        <v>770</v>
      </c>
      <c r="E132" s="9" t="s">
        <v>771</v>
      </c>
      <c r="F132" s="9" t="s">
        <v>772</v>
      </c>
      <c r="G132" s="9" t="s">
        <v>771</v>
      </c>
      <c r="H132" s="9" t="s">
        <v>752</v>
      </c>
      <c r="I132" s="9">
        <v>2023</v>
      </c>
      <c r="J132" s="9" t="s">
        <v>130</v>
      </c>
      <c r="K132" s="9" t="s">
        <v>773</v>
      </c>
      <c r="L132" s="9" t="s">
        <v>774</v>
      </c>
      <c r="M132" s="9" t="s">
        <v>112</v>
      </c>
      <c r="N132" s="9" t="s">
        <v>112</v>
      </c>
      <c r="O132" s="9" t="s">
        <v>113</v>
      </c>
      <c r="P132" s="9">
        <v>1</v>
      </c>
      <c r="Q132" s="9"/>
      <c r="R132" s="9"/>
      <c r="S132" s="9" t="s">
        <v>114</v>
      </c>
    </row>
    <row r="133" spans="1:19">
      <c r="A133" s="9" t="s">
        <v>19</v>
      </c>
      <c r="B133" s="9" t="s">
        <v>103</v>
      </c>
      <c r="C133" s="9" t="s">
        <v>22</v>
      </c>
      <c r="D133" s="9" t="s">
        <v>775</v>
      </c>
      <c r="E133" s="9" t="s">
        <v>776</v>
      </c>
      <c r="F133" s="9" t="s">
        <v>777</v>
      </c>
      <c r="G133" s="9" t="s">
        <v>776</v>
      </c>
      <c r="H133" s="9" t="s">
        <v>752</v>
      </c>
      <c r="I133" s="9">
        <v>2023</v>
      </c>
      <c r="J133" s="9" t="s">
        <v>130</v>
      </c>
      <c r="K133" s="9" t="s">
        <v>778</v>
      </c>
      <c r="L133" s="9" t="s">
        <v>779</v>
      </c>
      <c r="M133" s="9" t="s">
        <v>112</v>
      </c>
      <c r="N133" s="9" t="s">
        <v>112</v>
      </c>
      <c r="O133" s="9" t="s">
        <v>113</v>
      </c>
      <c r="P133" s="9">
        <v>1</v>
      </c>
      <c r="Q133" s="9"/>
      <c r="R133" s="9"/>
      <c r="S133" s="9" t="s">
        <v>114</v>
      </c>
    </row>
    <row r="134" spans="1:19">
      <c r="A134" s="9" t="s">
        <v>19</v>
      </c>
      <c r="B134" s="9" t="s">
        <v>103</v>
      </c>
      <c r="C134" s="9" t="s">
        <v>22</v>
      </c>
      <c r="D134" s="9" t="s">
        <v>780</v>
      </c>
      <c r="E134" s="9" t="s">
        <v>781</v>
      </c>
      <c r="F134" s="9" t="s">
        <v>703</v>
      </c>
      <c r="G134" s="9" t="s">
        <v>781</v>
      </c>
      <c r="H134" s="9" t="s">
        <v>752</v>
      </c>
      <c r="I134" s="9">
        <v>2023</v>
      </c>
      <c r="J134" s="9" t="s">
        <v>130</v>
      </c>
      <c r="K134" s="9" t="s">
        <v>782</v>
      </c>
      <c r="L134" s="9" t="s">
        <v>783</v>
      </c>
      <c r="M134" s="9" t="s">
        <v>112</v>
      </c>
      <c r="N134" s="9" t="s">
        <v>112</v>
      </c>
      <c r="O134" s="9" t="s">
        <v>113</v>
      </c>
      <c r="P134" s="9">
        <v>1</v>
      </c>
      <c r="Q134" s="9"/>
      <c r="R134" s="9"/>
      <c r="S134" s="9" t="s">
        <v>114</v>
      </c>
    </row>
    <row r="135" spans="1:19">
      <c r="A135" s="9" t="s">
        <v>19</v>
      </c>
      <c r="B135" s="9" t="s">
        <v>103</v>
      </c>
      <c r="C135" s="9" t="s">
        <v>22</v>
      </c>
      <c r="D135" s="9" t="s">
        <v>784</v>
      </c>
      <c r="E135" s="9" t="s">
        <v>785</v>
      </c>
      <c r="F135" s="9" t="s">
        <v>786</v>
      </c>
      <c r="G135" s="9" t="s">
        <v>785</v>
      </c>
      <c r="H135" s="9" t="s">
        <v>752</v>
      </c>
      <c r="I135" s="9">
        <v>2023</v>
      </c>
      <c r="J135" s="9" t="s">
        <v>130</v>
      </c>
      <c r="K135" s="9" t="s">
        <v>787</v>
      </c>
      <c r="L135" s="9" t="s">
        <v>788</v>
      </c>
      <c r="M135" s="9" t="s">
        <v>112</v>
      </c>
      <c r="N135" s="9" t="s">
        <v>112</v>
      </c>
      <c r="O135" s="9" t="s">
        <v>113</v>
      </c>
      <c r="P135" s="9">
        <v>1</v>
      </c>
      <c r="Q135" s="9"/>
      <c r="R135" s="9"/>
      <c r="S135" s="9" t="s">
        <v>114</v>
      </c>
    </row>
    <row r="136" spans="1:19">
      <c r="A136" s="9" t="s">
        <v>19</v>
      </c>
      <c r="B136" s="9" t="s">
        <v>103</v>
      </c>
      <c r="C136" s="9" t="s">
        <v>22</v>
      </c>
      <c r="D136" s="9" t="s">
        <v>789</v>
      </c>
      <c r="E136" s="9" t="s">
        <v>790</v>
      </c>
      <c r="F136" s="9" t="s">
        <v>406</v>
      </c>
      <c r="G136" s="9" t="s">
        <v>790</v>
      </c>
      <c r="H136" s="9" t="s">
        <v>752</v>
      </c>
      <c r="I136" s="9">
        <v>2023</v>
      </c>
      <c r="J136" s="9" t="s">
        <v>130</v>
      </c>
      <c r="K136" s="9" t="s">
        <v>791</v>
      </c>
      <c r="L136" s="9" t="s">
        <v>252</v>
      </c>
      <c r="M136" s="9" t="s">
        <v>112</v>
      </c>
      <c r="N136" s="9" t="s">
        <v>112</v>
      </c>
      <c r="O136" s="9" t="s">
        <v>113</v>
      </c>
      <c r="P136" s="9">
        <v>1</v>
      </c>
      <c r="Q136" s="9"/>
      <c r="R136" s="9"/>
      <c r="S136" s="9" t="s">
        <v>114</v>
      </c>
    </row>
    <row r="137" spans="1:19">
      <c r="A137" s="9" t="s">
        <v>19</v>
      </c>
      <c r="B137" s="9" t="s">
        <v>103</v>
      </c>
      <c r="C137" s="9" t="s">
        <v>22</v>
      </c>
      <c r="D137" s="9" t="s">
        <v>792</v>
      </c>
      <c r="E137" s="9" t="s">
        <v>793</v>
      </c>
      <c r="F137" s="9" t="s">
        <v>794</v>
      </c>
      <c r="G137" s="9" t="s">
        <v>793</v>
      </c>
      <c r="H137" s="9" t="s">
        <v>752</v>
      </c>
      <c r="I137" s="9">
        <v>2023</v>
      </c>
      <c r="J137" s="9" t="s">
        <v>130</v>
      </c>
      <c r="K137" s="9" t="s">
        <v>795</v>
      </c>
      <c r="L137" s="9" t="s">
        <v>796</v>
      </c>
      <c r="M137" s="9" t="s">
        <v>112</v>
      </c>
      <c r="N137" s="9" t="s">
        <v>112</v>
      </c>
      <c r="O137" s="9" t="s">
        <v>113</v>
      </c>
      <c r="P137" s="9">
        <v>1</v>
      </c>
      <c r="Q137" s="9"/>
      <c r="R137" s="9"/>
      <c r="S137" s="9" t="s">
        <v>114</v>
      </c>
    </row>
    <row r="138" spans="1:19">
      <c r="A138" s="9" t="s">
        <v>19</v>
      </c>
      <c r="B138" s="9" t="s">
        <v>103</v>
      </c>
      <c r="C138" s="9" t="s">
        <v>22</v>
      </c>
      <c r="D138" s="9" t="s">
        <v>797</v>
      </c>
      <c r="E138" s="9" t="s">
        <v>798</v>
      </c>
      <c r="F138" s="9" t="s">
        <v>799</v>
      </c>
      <c r="G138" s="9" t="s">
        <v>798</v>
      </c>
      <c r="H138" s="9" t="s">
        <v>752</v>
      </c>
      <c r="I138" s="9">
        <v>2023</v>
      </c>
      <c r="J138" s="9" t="s">
        <v>130</v>
      </c>
      <c r="K138" s="9" t="s">
        <v>800</v>
      </c>
      <c r="L138" s="9" t="s">
        <v>801</v>
      </c>
      <c r="M138" s="9" t="s">
        <v>112</v>
      </c>
      <c r="N138" s="9" t="s">
        <v>112</v>
      </c>
      <c r="O138" s="9" t="s">
        <v>113</v>
      </c>
      <c r="P138" s="9">
        <v>1</v>
      </c>
      <c r="Q138" s="9"/>
      <c r="R138" s="9"/>
      <c r="S138" s="9" t="s">
        <v>114</v>
      </c>
    </row>
    <row r="139" spans="1:19">
      <c r="A139" s="9" t="s">
        <v>19</v>
      </c>
      <c r="B139" s="9" t="s">
        <v>103</v>
      </c>
      <c r="C139" s="9" t="s">
        <v>22</v>
      </c>
      <c r="D139" s="9" t="s">
        <v>802</v>
      </c>
      <c r="E139" s="9" t="s">
        <v>803</v>
      </c>
      <c r="F139" s="9" t="s">
        <v>804</v>
      </c>
      <c r="G139" s="9" t="s">
        <v>803</v>
      </c>
      <c r="H139" s="9" t="s">
        <v>752</v>
      </c>
      <c r="I139" s="9">
        <v>2023</v>
      </c>
      <c r="J139" s="9" t="s">
        <v>130</v>
      </c>
      <c r="K139" s="9" t="s">
        <v>805</v>
      </c>
      <c r="L139" s="9" t="s">
        <v>806</v>
      </c>
      <c r="M139" s="9" t="s">
        <v>112</v>
      </c>
      <c r="N139" s="9" t="s">
        <v>112</v>
      </c>
      <c r="O139" s="9" t="s">
        <v>113</v>
      </c>
      <c r="P139" s="9">
        <v>1</v>
      </c>
      <c r="Q139" s="9"/>
      <c r="R139" s="9"/>
      <c r="S139" s="9" t="s">
        <v>114</v>
      </c>
    </row>
    <row r="140" spans="1:19">
      <c r="A140" s="9" t="s">
        <v>19</v>
      </c>
      <c r="B140" s="9" t="s">
        <v>103</v>
      </c>
      <c r="C140" s="9" t="s">
        <v>22</v>
      </c>
      <c r="D140" s="9" t="s">
        <v>807</v>
      </c>
      <c r="E140" s="9" t="s">
        <v>808</v>
      </c>
      <c r="F140" s="9" t="s">
        <v>809</v>
      </c>
      <c r="G140" s="9" t="s">
        <v>808</v>
      </c>
      <c r="H140" s="9" t="s">
        <v>810</v>
      </c>
      <c r="I140" s="9">
        <v>2023</v>
      </c>
      <c r="J140" s="9" t="s">
        <v>130</v>
      </c>
      <c r="K140" s="9" t="s">
        <v>811</v>
      </c>
      <c r="L140" s="9" t="s">
        <v>812</v>
      </c>
      <c r="M140" s="9" t="s">
        <v>112</v>
      </c>
      <c r="N140" s="9" t="s">
        <v>112</v>
      </c>
      <c r="O140" s="9" t="s">
        <v>113</v>
      </c>
      <c r="P140" s="9">
        <v>1</v>
      </c>
      <c r="Q140" s="9"/>
      <c r="R140" s="9"/>
      <c r="S140" s="9" t="s">
        <v>114</v>
      </c>
    </row>
    <row r="141" spans="1:19">
      <c r="A141" s="9" t="s">
        <v>19</v>
      </c>
      <c r="B141" s="9" t="s">
        <v>103</v>
      </c>
      <c r="C141" s="9" t="s">
        <v>22</v>
      </c>
      <c r="D141" s="9" t="s">
        <v>813</v>
      </c>
      <c r="E141" s="9" t="s">
        <v>814</v>
      </c>
      <c r="F141" s="9" t="s">
        <v>815</v>
      </c>
      <c r="G141" s="9" t="s">
        <v>814</v>
      </c>
      <c r="H141" s="9" t="s">
        <v>810</v>
      </c>
      <c r="I141" s="9">
        <v>2023</v>
      </c>
      <c r="J141" s="9" t="s">
        <v>130</v>
      </c>
      <c r="K141" s="9" t="s">
        <v>816</v>
      </c>
      <c r="L141" s="9" t="s">
        <v>817</v>
      </c>
      <c r="M141" s="9" t="s">
        <v>112</v>
      </c>
      <c r="N141" s="9" t="s">
        <v>112</v>
      </c>
      <c r="O141" s="9" t="s">
        <v>113</v>
      </c>
      <c r="P141" s="9">
        <v>1</v>
      </c>
      <c r="Q141" s="9"/>
      <c r="R141" s="9"/>
      <c r="S141" s="9" t="s">
        <v>114</v>
      </c>
    </row>
    <row r="142" spans="1:19">
      <c r="A142" s="9" t="s">
        <v>19</v>
      </c>
      <c r="B142" s="9" t="s">
        <v>103</v>
      </c>
      <c r="C142" s="9" t="s">
        <v>22</v>
      </c>
      <c r="D142" s="9" t="s">
        <v>818</v>
      </c>
      <c r="E142" s="9" t="s">
        <v>819</v>
      </c>
      <c r="F142" s="9" t="s">
        <v>285</v>
      </c>
      <c r="G142" s="9" t="s">
        <v>819</v>
      </c>
      <c r="H142" s="9" t="s">
        <v>820</v>
      </c>
      <c r="I142" s="9">
        <v>2023</v>
      </c>
      <c r="J142" s="9" t="s">
        <v>130</v>
      </c>
      <c r="K142" s="9" t="s">
        <v>821</v>
      </c>
      <c r="L142" s="9" t="s">
        <v>822</v>
      </c>
      <c r="M142" s="9" t="s">
        <v>310</v>
      </c>
      <c r="N142" s="9" t="s">
        <v>310</v>
      </c>
      <c r="O142" s="9" t="s">
        <v>113</v>
      </c>
      <c r="P142" s="9">
        <v>1</v>
      </c>
      <c r="Q142" s="9"/>
      <c r="R142" s="9"/>
      <c r="S142" s="9" t="s">
        <v>114</v>
      </c>
    </row>
    <row r="143" spans="1:19">
      <c r="A143" s="9" t="s">
        <v>19</v>
      </c>
      <c r="B143" s="9" t="s">
        <v>103</v>
      </c>
      <c r="C143" s="9" t="s">
        <v>22</v>
      </c>
      <c r="D143" s="9" t="s">
        <v>823</v>
      </c>
      <c r="E143" s="9" t="s">
        <v>824</v>
      </c>
      <c r="F143" s="9" t="s">
        <v>825</v>
      </c>
      <c r="G143" s="9" t="s">
        <v>826</v>
      </c>
      <c r="H143" s="9" t="s">
        <v>827</v>
      </c>
      <c r="I143" s="9">
        <v>2023</v>
      </c>
      <c r="J143" s="9" t="s">
        <v>158</v>
      </c>
      <c r="K143" s="9" t="s">
        <v>251</v>
      </c>
      <c r="L143" s="9" t="s">
        <v>828</v>
      </c>
      <c r="M143" s="9" t="s">
        <v>112</v>
      </c>
      <c r="N143" s="9" t="s">
        <v>112</v>
      </c>
      <c r="O143" s="9" t="s">
        <v>113</v>
      </c>
      <c r="P143" s="9">
        <v>1</v>
      </c>
      <c r="Q143" s="9"/>
      <c r="R143" s="9"/>
      <c r="S143" s="9" t="s">
        <v>114</v>
      </c>
    </row>
    <row r="144" spans="1:19">
      <c r="A144" s="9" t="s">
        <v>19</v>
      </c>
      <c r="B144" s="9" t="s">
        <v>103</v>
      </c>
      <c r="C144" s="9" t="s">
        <v>22</v>
      </c>
      <c r="D144" s="9" t="s">
        <v>829</v>
      </c>
      <c r="E144" s="9" t="s">
        <v>830</v>
      </c>
      <c r="F144" s="9" t="s">
        <v>825</v>
      </c>
      <c r="G144" s="9" t="s">
        <v>831</v>
      </c>
      <c r="H144" s="9" t="s">
        <v>827</v>
      </c>
      <c r="I144" s="9">
        <v>2023</v>
      </c>
      <c r="J144" s="9" t="s">
        <v>158</v>
      </c>
      <c r="K144" s="9" t="s">
        <v>251</v>
      </c>
      <c r="L144" s="9" t="s">
        <v>832</v>
      </c>
      <c r="M144" s="9" t="s">
        <v>112</v>
      </c>
      <c r="N144" s="9" t="s">
        <v>112</v>
      </c>
      <c r="O144" s="9" t="s">
        <v>113</v>
      </c>
      <c r="P144" s="9">
        <v>1</v>
      </c>
      <c r="Q144" s="9"/>
      <c r="R144" s="9"/>
      <c r="S144" s="9" t="s">
        <v>114</v>
      </c>
    </row>
    <row r="145" spans="1:19">
      <c r="A145" s="9" t="s">
        <v>19</v>
      </c>
      <c r="B145" s="9" t="s">
        <v>103</v>
      </c>
      <c r="C145" s="9" t="s">
        <v>22</v>
      </c>
      <c r="D145" s="9" t="s">
        <v>833</v>
      </c>
      <c r="E145" s="9" t="s">
        <v>834</v>
      </c>
      <c r="F145" s="9" t="s">
        <v>835</v>
      </c>
      <c r="G145" s="9" t="s">
        <v>834</v>
      </c>
      <c r="H145" s="9" t="s">
        <v>836</v>
      </c>
      <c r="I145" s="9">
        <v>2023</v>
      </c>
      <c r="J145" s="9" t="s">
        <v>130</v>
      </c>
      <c r="K145" s="9" t="s">
        <v>837</v>
      </c>
      <c r="L145" s="9" t="s">
        <v>252</v>
      </c>
      <c r="M145" s="9" t="s">
        <v>112</v>
      </c>
      <c r="N145" s="9" t="s">
        <v>112</v>
      </c>
      <c r="O145" s="9" t="s">
        <v>113</v>
      </c>
      <c r="P145" s="9">
        <v>1</v>
      </c>
      <c r="Q145" s="9"/>
      <c r="R145" s="9"/>
      <c r="S145" s="9" t="s">
        <v>114</v>
      </c>
    </row>
    <row r="146" spans="1:19">
      <c r="A146" s="9" t="s">
        <v>19</v>
      </c>
      <c r="B146" s="9" t="s">
        <v>103</v>
      </c>
      <c r="C146" s="9" t="s">
        <v>22</v>
      </c>
      <c r="D146" s="9" t="s">
        <v>838</v>
      </c>
      <c r="E146" s="9" t="s">
        <v>839</v>
      </c>
      <c r="F146" s="9" t="s">
        <v>285</v>
      </c>
      <c r="G146" s="9" t="s">
        <v>839</v>
      </c>
      <c r="H146" s="9" t="s">
        <v>840</v>
      </c>
      <c r="I146" s="9">
        <v>2023</v>
      </c>
      <c r="J146" s="9" t="s">
        <v>130</v>
      </c>
      <c r="K146" s="9" t="s">
        <v>841</v>
      </c>
      <c r="L146" s="9" t="s">
        <v>842</v>
      </c>
      <c r="M146" s="9" t="s">
        <v>310</v>
      </c>
      <c r="N146" s="9" t="s">
        <v>310</v>
      </c>
      <c r="O146" s="9" t="s">
        <v>113</v>
      </c>
      <c r="P146" s="9">
        <v>1</v>
      </c>
      <c r="Q146" s="9"/>
      <c r="R146" s="9"/>
      <c r="S146" s="9" t="s">
        <v>114</v>
      </c>
    </row>
    <row r="147" spans="1:19">
      <c r="A147" s="9" t="s">
        <v>19</v>
      </c>
      <c r="B147" s="9" t="s">
        <v>103</v>
      </c>
      <c r="C147" s="9" t="s">
        <v>22</v>
      </c>
      <c r="D147" s="9" t="s">
        <v>843</v>
      </c>
      <c r="E147" s="9" t="s">
        <v>844</v>
      </c>
      <c r="F147" s="9" t="s">
        <v>845</v>
      </c>
      <c r="G147" s="9" t="s">
        <v>844</v>
      </c>
      <c r="H147" s="9" t="s">
        <v>846</v>
      </c>
      <c r="I147" s="9">
        <v>2023</v>
      </c>
      <c r="J147" s="9" t="s">
        <v>130</v>
      </c>
      <c r="K147" s="9" t="s">
        <v>847</v>
      </c>
      <c r="L147" s="9" t="s">
        <v>848</v>
      </c>
      <c r="M147" s="9" t="s">
        <v>112</v>
      </c>
      <c r="N147" s="9" t="s">
        <v>112</v>
      </c>
      <c r="O147" s="9" t="s">
        <v>113</v>
      </c>
      <c r="P147" s="9">
        <v>1</v>
      </c>
      <c r="Q147" s="9"/>
      <c r="R147" s="9"/>
      <c r="S147" s="9" t="s">
        <v>114</v>
      </c>
    </row>
    <row r="148" spans="1:19">
      <c r="A148" s="9" t="s">
        <v>19</v>
      </c>
      <c r="B148" s="9" t="s">
        <v>103</v>
      </c>
      <c r="C148" s="9" t="s">
        <v>22</v>
      </c>
      <c r="D148" s="9" t="s">
        <v>849</v>
      </c>
      <c r="E148" s="9" t="s">
        <v>850</v>
      </c>
      <c r="F148" s="9" t="s">
        <v>851</v>
      </c>
      <c r="G148" s="9" t="s">
        <v>850</v>
      </c>
      <c r="H148" s="9" t="s">
        <v>846</v>
      </c>
      <c r="I148" s="9">
        <v>2023</v>
      </c>
      <c r="J148" s="9" t="s">
        <v>130</v>
      </c>
      <c r="K148" s="9" t="s">
        <v>852</v>
      </c>
      <c r="L148" s="9" t="s">
        <v>252</v>
      </c>
      <c r="M148" s="9" t="s">
        <v>112</v>
      </c>
      <c r="N148" s="9" t="s">
        <v>112</v>
      </c>
      <c r="O148" s="9" t="s">
        <v>113</v>
      </c>
      <c r="P148" s="9">
        <v>1</v>
      </c>
      <c r="Q148" s="9"/>
      <c r="R148" s="9"/>
      <c r="S148" s="9" t="s">
        <v>114</v>
      </c>
    </row>
    <row r="149" spans="1:19">
      <c r="A149" s="9" t="s">
        <v>19</v>
      </c>
      <c r="B149" s="9" t="s">
        <v>103</v>
      </c>
      <c r="C149" s="9" t="s">
        <v>22</v>
      </c>
      <c r="D149" s="9" t="s">
        <v>853</v>
      </c>
      <c r="E149" s="9" t="s">
        <v>854</v>
      </c>
      <c r="F149" s="9" t="s">
        <v>855</v>
      </c>
      <c r="G149" s="9" t="s">
        <v>854</v>
      </c>
      <c r="H149" s="9" t="s">
        <v>846</v>
      </c>
      <c r="I149" s="9">
        <v>2023</v>
      </c>
      <c r="J149" s="9" t="s">
        <v>130</v>
      </c>
      <c r="K149" s="9" t="s">
        <v>856</v>
      </c>
      <c r="L149" s="9" t="s">
        <v>857</v>
      </c>
      <c r="M149" s="9" t="s">
        <v>112</v>
      </c>
      <c r="N149" s="9" t="s">
        <v>112</v>
      </c>
      <c r="O149" s="9" t="s">
        <v>113</v>
      </c>
      <c r="P149" s="9">
        <v>1</v>
      </c>
      <c r="Q149" s="9"/>
      <c r="R149" s="9"/>
      <c r="S149" s="9" t="s">
        <v>114</v>
      </c>
    </row>
    <row r="150" spans="1:19">
      <c r="A150" s="9" t="s">
        <v>19</v>
      </c>
      <c r="B150" s="9" t="s">
        <v>103</v>
      </c>
      <c r="C150" s="9" t="s">
        <v>22</v>
      </c>
      <c r="D150" s="9" t="s">
        <v>858</v>
      </c>
      <c r="E150" s="9" t="s">
        <v>859</v>
      </c>
      <c r="F150" s="9" t="s">
        <v>845</v>
      </c>
      <c r="G150" s="9" t="s">
        <v>859</v>
      </c>
      <c r="H150" s="9" t="s">
        <v>846</v>
      </c>
      <c r="I150" s="9">
        <v>2023</v>
      </c>
      <c r="J150" s="9" t="s">
        <v>130</v>
      </c>
      <c r="K150" s="9" t="s">
        <v>860</v>
      </c>
      <c r="L150" s="9" t="s">
        <v>861</v>
      </c>
      <c r="M150" s="9" t="s">
        <v>112</v>
      </c>
      <c r="N150" s="9" t="s">
        <v>112</v>
      </c>
      <c r="O150" s="9" t="s">
        <v>113</v>
      </c>
      <c r="P150" s="9">
        <v>1</v>
      </c>
      <c r="Q150" s="9"/>
      <c r="R150" s="9"/>
      <c r="S150" s="9" t="s">
        <v>114</v>
      </c>
    </row>
    <row r="151" spans="1:19">
      <c r="A151" s="9" t="s">
        <v>19</v>
      </c>
      <c r="B151" s="9" t="s">
        <v>103</v>
      </c>
      <c r="C151" s="9" t="s">
        <v>22</v>
      </c>
      <c r="D151" s="9" t="s">
        <v>862</v>
      </c>
      <c r="E151" s="9" t="s">
        <v>863</v>
      </c>
      <c r="F151" s="9" t="s">
        <v>864</v>
      </c>
      <c r="G151" s="9" t="s">
        <v>865</v>
      </c>
      <c r="H151" s="9" t="s">
        <v>866</v>
      </c>
      <c r="I151" s="9">
        <v>2023</v>
      </c>
      <c r="J151" s="9" t="s">
        <v>158</v>
      </c>
      <c r="K151" s="9" t="s">
        <v>867</v>
      </c>
      <c r="L151" s="9" t="s">
        <v>868</v>
      </c>
      <c r="M151" s="9" t="s">
        <v>182</v>
      </c>
      <c r="N151" s="9" t="s">
        <v>182</v>
      </c>
      <c r="O151" s="9" t="s">
        <v>113</v>
      </c>
      <c r="P151" s="9">
        <v>1</v>
      </c>
      <c r="Q151" s="9"/>
      <c r="R151" s="9"/>
      <c r="S151" s="9" t="s">
        <v>114</v>
      </c>
    </row>
    <row r="152" spans="1:19">
      <c r="A152" s="9" t="s">
        <v>19</v>
      </c>
      <c r="B152" s="9" t="s">
        <v>103</v>
      </c>
      <c r="C152" s="9" t="s">
        <v>22</v>
      </c>
      <c r="D152" s="9" t="s">
        <v>869</v>
      </c>
      <c r="E152" s="9" t="s">
        <v>870</v>
      </c>
      <c r="F152" s="9" t="s">
        <v>871</v>
      </c>
      <c r="G152" s="9" t="s">
        <v>872</v>
      </c>
      <c r="H152" s="9" t="s">
        <v>873</v>
      </c>
      <c r="I152" s="9">
        <v>2023</v>
      </c>
      <c r="J152" s="9" t="s">
        <v>158</v>
      </c>
      <c r="K152" s="9" t="s">
        <v>874</v>
      </c>
      <c r="L152" s="9" t="s">
        <v>875</v>
      </c>
      <c r="M152" s="9" t="s">
        <v>182</v>
      </c>
      <c r="N152" s="9" t="s">
        <v>182</v>
      </c>
      <c r="O152" s="9" t="s">
        <v>113</v>
      </c>
      <c r="P152" s="9">
        <v>1</v>
      </c>
      <c r="Q152" s="9"/>
      <c r="R152" s="9"/>
      <c r="S152" s="9" t="s">
        <v>114</v>
      </c>
    </row>
    <row r="153" spans="1:19">
      <c r="A153" s="9" t="s">
        <v>19</v>
      </c>
      <c r="B153" s="9" t="s">
        <v>103</v>
      </c>
      <c r="C153" s="9" t="s">
        <v>22</v>
      </c>
      <c r="D153" s="9" t="s">
        <v>876</v>
      </c>
      <c r="E153" s="9" t="s">
        <v>877</v>
      </c>
      <c r="F153" s="9" t="s">
        <v>878</v>
      </c>
      <c r="G153" s="9" t="s">
        <v>879</v>
      </c>
      <c r="H153" s="9" t="s">
        <v>880</v>
      </c>
      <c r="I153" s="9">
        <v>2024</v>
      </c>
      <c r="J153" s="9" t="s">
        <v>158</v>
      </c>
      <c r="K153" s="9" t="s">
        <v>881</v>
      </c>
      <c r="L153" s="9" t="s">
        <v>882</v>
      </c>
      <c r="M153" s="9" t="s">
        <v>182</v>
      </c>
      <c r="N153" s="9" t="s">
        <v>182</v>
      </c>
      <c r="O153" s="9" t="s">
        <v>113</v>
      </c>
      <c r="P153" s="9">
        <v>1</v>
      </c>
      <c r="Q153" s="9"/>
      <c r="R153" s="9"/>
      <c r="S153" s="9" t="s">
        <v>114</v>
      </c>
    </row>
    <row r="154" spans="1:19">
      <c r="A154" s="9" t="s">
        <v>19</v>
      </c>
      <c r="B154" s="9" t="s">
        <v>103</v>
      </c>
      <c r="C154" s="9" t="s">
        <v>22</v>
      </c>
      <c r="D154" s="9" t="s">
        <v>883</v>
      </c>
      <c r="E154" s="9" t="s">
        <v>884</v>
      </c>
      <c r="F154" s="9" t="s">
        <v>885</v>
      </c>
      <c r="G154" s="9" t="s">
        <v>886</v>
      </c>
      <c r="H154" s="9" t="s">
        <v>887</v>
      </c>
      <c r="I154" s="9">
        <v>2024</v>
      </c>
      <c r="J154" s="9" t="s">
        <v>158</v>
      </c>
      <c r="K154" s="9" t="s">
        <v>888</v>
      </c>
      <c r="L154" s="9" t="s">
        <v>889</v>
      </c>
      <c r="M154" s="9" t="s">
        <v>182</v>
      </c>
      <c r="N154" s="9" t="s">
        <v>182</v>
      </c>
      <c r="O154" s="9" t="s">
        <v>113</v>
      </c>
      <c r="P154" s="9">
        <v>1</v>
      </c>
      <c r="Q154" s="9"/>
      <c r="R154" s="9"/>
      <c r="S154" s="9" t="s">
        <v>114</v>
      </c>
    </row>
    <row r="155" spans="1:19">
      <c r="A155" s="9" t="s">
        <v>19</v>
      </c>
      <c r="B155" s="9" t="s">
        <v>103</v>
      </c>
      <c r="C155" s="9" t="s">
        <v>22</v>
      </c>
      <c r="D155" s="9" t="s">
        <v>890</v>
      </c>
      <c r="E155" s="9" t="s">
        <v>891</v>
      </c>
      <c r="F155" s="9" t="s">
        <v>725</v>
      </c>
      <c r="G155" s="9" t="s">
        <v>892</v>
      </c>
      <c r="H155" s="9" t="s">
        <v>893</v>
      </c>
      <c r="I155" s="9">
        <v>2024</v>
      </c>
      <c r="J155" s="9" t="s">
        <v>351</v>
      </c>
      <c r="K155" s="9" t="s">
        <v>576</v>
      </c>
      <c r="L155" s="9" t="s">
        <v>894</v>
      </c>
      <c r="M155" s="9" t="s">
        <v>895</v>
      </c>
      <c r="N155" s="9" t="s">
        <v>895</v>
      </c>
      <c r="O155" s="9" t="s">
        <v>113</v>
      </c>
      <c r="P155" s="9">
        <v>1</v>
      </c>
      <c r="Q155" s="9"/>
      <c r="R155" s="9"/>
      <c r="S155" s="9" t="s">
        <v>114</v>
      </c>
    </row>
    <row r="156" spans="1:19">
      <c r="A156" s="9" t="s">
        <v>19</v>
      </c>
      <c r="B156" s="9" t="s">
        <v>103</v>
      </c>
      <c r="C156" s="9" t="s">
        <v>22</v>
      </c>
      <c r="D156" s="9" t="s">
        <v>896</v>
      </c>
      <c r="E156" s="9" t="s">
        <v>897</v>
      </c>
      <c r="F156" s="9" t="s">
        <v>898</v>
      </c>
      <c r="G156" s="9" t="s">
        <v>899</v>
      </c>
      <c r="H156" s="9" t="s">
        <v>900</v>
      </c>
      <c r="I156" s="9">
        <v>2024</v>
      </c>
      <c r="J156" s="9" t="s">
        <v>158</v>
      </c>
      <c r="K156" s="9" t="s">
        <v>302</v>
      </c>
      <c r="L156" s="9" t="s">
        <v>901</v>
      </c>
      <c r="M156" s="9" t="s">
        <v>182</v>
      </c>
      <c r="N156" s="9" t="s">
        <v>182</v>
      </c>
      <c r="O156" s="9" t="s">
        <v>113</v>
      </c>
      <c r="P156" s="9">
        <v>1</v>
      </c>
      <c r="Q156" s="9"/>
      <c r="R156" s="9"/>
      <c r="S156" s="9" t="s">
        <v>114</v>
      </c>
    </row>
    <row r="157" spans="1:19">
      <c r="A157" s="9" t="s">
        <v>19</v>
      </c>
      <c r="B157" s="9" t="s">
        <v>103</v>
      </c>
      <c r="C157" s="9" t="s">
        <v>22</v>
      </c>
      <c r="D157" s="9" t="s">
        <v>902</v>
      </c>
      <c r="E157" s="9" t="s">
        <v>903</v>
      </c>
      <c r="F157" s="9" t="s">
        <v>845</v>
      </c>
      <c r="G157" s="9" t="s">
        <v>904</v>
      </c>
      <c r="H157" s="9" t="s">
        <v>905</v>
      </c>
      <c r="I157" s="9">
        <v>2024</v>
      </c>
      <c r="J157" s="9" t="s">
        <v>158</v>
      </c>
      <c r="K157" s="9" t="s">
        <v>331</v>
      </c>
      <c r="L157" s="9" t="s">
        <v>906</v>
      </c>
      <c r="M157" s="9" t="s">
        <v>182</v>
      </c>
      <c r="N157" s="9" t="s">
        <v>182</v>
      </c>
      <c r="O157" s="9" t="s">
        <v>113</v>
      </c>
      <c r="P157" s="9">
        <v>1</v>
      </c>
      <c r="Q157" s="9"/>
      <c r="R157" s="9"/>
      <c r="S157" s="9" t="s">
        <v>114</v>
      </c>
    </row>
    <row r="158" spans="1:19">
      <c r="A158" s="9" t="s">
        <v>19</v>
      </c>
      <c r="B158" s="9" t="s">
        <v>103</v>
      </c>
      <c r="C158" s="9" t="s">
        <v>22</v>
      </c>
      <c r="D158" s="9" t="s">
        <v>907</v>
      </c>
      <c r="E158" s="9" t="s">
        <v>908</v>
      </c>
      <c r="F158" s="9" t="s">
        <v>909</v>
      </c>
      <c r="G158" s="9" t="s">
        <v>910</v>
      </c>
      <c r="H158" s="9" t="s">
        <v>911</v>
      </c>
      <c r="I158" s="9">
        <v>2024</v>
      </c>
      <c r="J158" s="9" t="s">
        <v>158</v>
      </c>
      <c r="K158" s="9" t="s">
        <v>323</v>
      </c>
      <c r="L158" s="9" t="s">
        <v>912</v>
      </c>
      <c r="M158" s="9" t="s">
        <v>182</v>
      </c>
      <c r="N158" s="9" t="s">
        <v>182</v>
      </c>
      <c r="O158" s="9" t="s">
        <v>113</v>
      </c>
      <c r="P158" s="9">
        <v>1</v>
      </c>
      <c r="Q158" s="9"/>
      <c r="R158" s="9"/>
      <c r="S158" s="9" t="s">
        <v>114</v>
      </c>
    </row>
    <row r="159" spans="1:19">
      <c r="A159" s="9" t="s">
        <v>19</v>
      </c>
      <c r="B159" s="9" t="s">
        <v>103</v>
      </c>
      <c r="C159" s="9" t="s">
        <v>22</v>
      </c>
      <c r="D159" s="9" t="s">
        <v>913</v>
      </c>
      <c r="E159" s="9" t="s">
        <v>914</v>
      </c>
      <c r="F159" s="9" t="s">
        <v>915</v>
      </c>
      <c r="G159" s="9" t="s">
        <v>916</v>
      </c>
      <c r="H159" s="9" t="s">
        <v>917</v>
      </c>
      <c r="I159" s="9">
        <v>2024</v>
      </c>
      <c r="J159" s="9" t="s">
        <v>158</v>
      </c>
      <c r="K159" s="9" t="s">
        <v>791</v>
      </c>
      <c r="L159" s="9" t="s">
        <v>918</v>
      </c>
      <c r="M159" s="9" t="s">
        <v>182</v>
      </c>
      <c r="N159" s="9" t="s">
        <v>182</v>
      </c>
      <c r="O159" s="9" t="s">
        <v>113</v>
      </c>
      <c r="P159" s="9">
        <v>1</v>
      </c>
      <c r="Q159" s="9"/>
      <c r="R159" s="9"/>
      <c r="S159" s="9" t="s">
        <v>114</v>
      </c>
    </row>
    <row r="160" spans="1:19">
      <c r="A160" s="9" t="s">
        <v>19</v>
      </c>
      <c r="B160" s="9" t="s">
        <v>103</v>
      </c>
      <c r="C160" s="9" t="s">
        <v>22</v>
      </c>
      <c r="D160" s="9" t="s">
        <v>919</v>
      </c>
      <c r="E160" s="9" t="s">
        <v>920</v>
      </c>
      <c r="F160" s="9" t="s">
        <v>921</v>
      </c>
      <c r="G160" s="9" t="s">
        <v>922</v>
      </c>
      <c r="H160" s="9" t="s">
        <v>917</v>
      </c>
      <c r="I160" s="9">
        <v>2024</v>
      </c>
      <c r="J160" s="9" t="s">
        <v>158</v>
      </c>
      <c r="K160" s="9" t="s">
        <v>923</v>
      </c>
      <c r="L160" s="9" t="s">
        <v>924</v>
      </c>
      <c r="M160" s="9" t="s">
        <v>182</v>
      </c>
      <c r="N160" s="9" t="s">
        <v>182</v>
      </c>
      <c r="O160" s="9" t="s">
        <v>113</v>
      </c>
      <c r="P160" s="9">
        <v>1</v>
      </c>
      <c r="Q160" s="9"/>
      <c r="R160" s="9"/>
      <c r="S160" s="9" t="s">
        <v>114</v>
      </c>
    </row>
    <row r="161" spans="1:19">
      <c r="A161" s="9" t="s">
        <v>19</v>
      </c>
      <c r="B161" s="9" t="s">
        <v>103</v>
      </c>
      <c r="C161" s="9" t="s">
        <v>22</v>
      </c>
      <c r="D161" s="9" t="s">
        <v>925</v>
      </c>
      <c r="E161" s="9" t="s">
        <v>926</v>
      </c>
      <c r="F161" s="9" t="s">
        <v>752</v>
      </c>
      <c r="G161" s="9" t="s">
        <v>927</v>
      </c>
      <c r="H161" s="9" t="s">
        <v>928</v>
      </c>
      <c r="I161" s="9">
        <v>2024</v>
      </c>
      <c r="J161" s="9" t="s">
        <v>158</v>
      </c>
      <c r="K161" s="9" t="s">
        <v>811</v>
      </c>
      <c r="L161" s="9" t="s">
        <v>929</v>
      </c>
      <c r="M161" s="9" t="s">
        <v>182</v>
      </c>
      <c r="N161" s="9" t="s">
        <v>182</v>
      </c>
      <c r="O161" s="9" t="s">
        <v>113</v>
      </c>
      <c r="P161" s="9">
        <v>1</v>
      </c>
      <c r="Q161" s="9"/>
      <c r="R161" s="9"/>
      <c r="S161" s="9" t="s">
        <v>114</v>
      </c>
    </row>
    <row r="162" spans="1:19">
      <c r="A162" s="9" t="s">
        <v>19</v>
      </c>
      <c r="B162" s="9" t="s">
        <v>103</v>
      </c>
      <c r="C162" s="9" t="s">
        <v>22</v>
      </c>
      <c r="D162" s="9" t="s">
        <v>930</v>
      </c>
      <c r="E162" s="9" t="s">
        <v>931</v>
      </c>
      <c r="F162" s="9" t="s">
        <v>855</v>
      </c>
      <c r="G162" s="9" t="s">
        <v>932</v>
      </c>
      <c r="H162" s="9" t="s">
        <v>928</v>
      </c>
      <c r="I162" s="9">
        <v>2024</v>
      </c>
      <c r="J162" s="9" t="s">
        <v>158</v>
      </c>
      <c r="K162" s="9" t="s">
        <v>364</v>
      </c>
      <c r="L162" s="9" t="s">
        <v>933</v>
      </c>
      <c r="M162" s="9" t="s">
        <v>182</v>
      </c>
      <c r="N162" s="9" t="s">
        <v>182</v>
      </c>
      <c r="O162" s="9" t="s">
        <v>113</v>
      </c>
      <c r="P162" s="9">
        <v>1</v>
      </c>
      <c r="Q162" s="9"/>
      <c r="R162" s="9"/>
      <c r="S162" s="9" t="s">
        <v>114</v>
      </c>
    </row>
    <row r="163" spans="1:19">
      <c r="A163" s="9" t="s">
        <v>19</v>
      </c>
      <c r="B163" s="9" t="s">
        <v>103</v>
      </c>
      <c r="C163" s="9" t="s">
        <v>22</v>
      </c>
      <c r="D163" s="9" t="s">
        <v>934</v>
      </c>
      <c r="E163" s="9" t="s">
        <v>935</v>
      </c>
      <c r="F163" s="9" t="s">
        <v>936</v>
      </c>
      <c r="G163" s="9" t="s">
        <v>937</v>
      </c>
      <c r="H163" s="9" t="s">
        <v>938</v>
      </c>
      <c r="I163" s="9">
        <v>2024</v>
      </c>
      <c r="J163" s="9" t="s">
        <v>158</v>
      </c>
      <c r="K163" s="9" t="s">
        <v>397</v>
      </c>
      <c r="L163" s="9" t="s">
        <v>939</v>
      </c>
      <c r="M163" s="9" t="s">
        <v>182</v>
      </c>
      <c r="N163" s="9" t="s">
        <v>182</v>
      </c>
      <c r="O163" s="9" t="s">
        <v>113</v>
      </c>
      <c r="P163" s="9">
        <v>1</v>
      </c>
      <c r="Q163" s="9"/>
      <c r="R163" s="9"/>
      <c r="S163" s="9" t="s">
        <v>114</v>
      </c>
    </row>
    <row r="164" spans="1:19">
      <c r="A164" s="9" t="s">
        <v>19</v>
      </c>
      <c r="B164" s="9" t="s">
        <v>103</v>
      </c>
      <c r="C164" s="9" t="s">
        <v>22</v>
      </c>
      <c r="D164" s="9" t="s">
        <v>940</v>
      </c>
      <c r="E164" s="9" t="s">
        <v>941</v>
      </c>
      <c r="F164" s="9" t="s">
        <v>942</v>
      </c>
      <c r="G164" s="9" t="s">
        <v>943</v>
      </c>
      <c r="H164" s="9" t="s">
        <v>944</v>
      </c>
      <c r="I164" s="9">
        <v>2024</v>
      </c>
      <c r="J164" s="9" t="s">
        <v>158</v>
      </c>
      <c r="K164" s="9" t="s">
        <v>498</v>
      </c>
      <c r="L164" s="9" t="s">
        <v>945</v>
      </c>
      <c r="M164" s="9" t="s">
        <v>182</v>
      </c>
      <c r="N164" s="9" t="s">
        <v>182</v>
      </c>
      <c r="O164" s="9" t="s">
        <v>113</v>
      </c>
      <c r="P164" s="9">
        <v>1</v>
      </c>
      <c r="Q164" s="9"/>
      <c r="R164" s="9"/>
      <c r="S164" s="9" t="s">
        <v>114</v>
      </c>
    </row>
    <row r="165" spans="1:19">
      <c r="A165" s="9" t="s">
        <v>19</v>
      </c>
      <c r="B165" s="9" t="s">
        <v>103</v>
      </c>
      <c r="C165" s="9" t="s">
        <v>22</v>
      </c>
      <c r="D165" s="9" t="s">
        <v>946</v>
      </c>
      <c r="E165" s="9" t="s">
        <v>947</v>
      </c>
      <c r="F165" s="9" t="s">
        <v>660</v>
      </c>
      <c r="G165" s="9" t="s">
        <v>948</v>
      </c>
      <c r="H165" s="9" t="s">
        <v>949</v>
      </c>
      <c r="I165" s="9">
        <v>2024</v>
      </c>
      <c r="J165" s="9" t="s">
        <v>351</v>
      </c>
      <c r="K165" s="9" t="s">
        <v>246</v>
      </c>
      <c r="L165" s="9" t="s">
        <v>950</v>
      </c>
      <c r="M165" s="9" t="s">
        <v>895</v>
      </c>
      <c r="N165" s="9" t="s">
        <v>895</v>
      </c>
      <c r="O165" s="9" t="s">
        <v>113</v>
      </c>
      <c r="P165" s="9">
        <v>1</v>
      </c>
      <c r="Q165" s="9"/>
      <c r="R165" s="9"/>
      <c r="S165" s="9" t="s">
        <v>114</v>
      </c>
    </row>
    <row r="166" spans="1:19">
      <c r="A166" s="9" t="s">
        <v>19</v>
      </c>
      <c r="B166" s="9" t="s">
        <v>103</v>
      </c>
      <c r="C166" s="9" t="s">
        <v>22</v>
      </c>
      <c r="D166" s="9" t="s">
        <v>951</v>
      </c>
      <c r="E166" s="9" t="s">
        <v>952</v>
      </c>
      <c r="F166" s="9" t="s">
        <v>660</v>
      </c>
      <c r="G166" s="9" t="s">
        <v>953</v>
      </c>
      <c r="H166" s="9" t="s">
        <v>949</v>
      </c>
      <c r="I166" s="9">
        <v>2024</v>
      </c>
      <c r="J166" s="9" t="s">
        <v>351</v>
      </c>
      <c r="K166" s="9" t="s">
        <v>259</v>
      </c>
      <c r="L166" s="9" t="s">
        <v>954</v>
      </c>
      <c r="M166" s="9" t="s">
        <v>895</v>
      </c>
      <c r="N166" s="9" t="s">
        <v>895</v>
      </c>
      <c r="O166" s="9" t="s">
        <v>113</v>
      </c>
      <c r="P166" s="9">
        <v>1</v>
      </c>
      <c r="Q166" s="9"/>
      <c r="R166" s="9"/>
      <c r="S166" s="9" t="s">
        <v>114</v>
      </c>
    </row>
    <row r="167" spans="1:19">
      <c r="A167" s="9" t="s">
        <v>19</v>
      </c>
      <c r="B167" s="9" t="s">
        <v>103</v>
      </c>
      <c r="C167" s="9" t="s">
        <v>22</v>
      </c>
      <c r="D167" s="9" t="s">
        <v>955</v>
      </c>
      <c r="E167" s="9" t="s">
        <v>956</v>
      </c>
      <c r="F167" s="9" t="s">
        <v>957</v>
      </c>
      <c r="G167" s="9" t="s">
        <v>956</v>
      </c>
      <c r="H167" s="9" t="s">
        <v>958</v>
      </c>
      <c r="I167" s="9">
        <v>2024</v>
      </c>
      <c r="J167" s="9" t="s">
        <v>130</v>
      </c>
      <c r="K167" s="9" t="s">
        <v>959</v>
      </c>
      <c r="L167" s="9" t="s">
        <v>960</v>
      </c>
      <c r="M167" s="9" t="s">
        <v>182</v>
      </c>
      <c r="N167" s="9" t="s">
        <v>182</v>
      </c>
      <c r="O167" s="9" t="s">
        <v>113</v>
      </c>
      <c r="P167" s="9">
        <v>1</v>
      </c>
      <c r="Q167" s="9"/>
      <c r="R167" s="9"/>
      <c r="S167" s="9" t="s">
        <v>114</v>
      </c>
    </row>
    <row r="168" spans="1:19">
      <c r="A168" s="9" t="s">
        <v>19</v>
      </c>
      <c r="B168" s="9" t="s">
        <v>103</v>
      </c>
      <c r="C168" s="9" t="s">
        <v>22</v>
      </c>
      <c r="D168" s="9" t="s">
        <v>961</v>
      </c>
      <c r="E168" s="9" t="s">
        <v>962</v>
      </c>
      <c r="F168" s="9" t="s">
        <v>963</v>
      </c>
      <c r="G168" s="9" t="s">
        <v>964</v>
      </c>
      <c r="H168" s="9" t="s">
        <v>965</v>
      </c>
      <c r="I168" s="9">
        <v>2024</v>
      </c>
      <c r="J168" s="9" t="s">
        <v>158</v>
      </c>
      <c r="K168" s="9" t="s">
        <v>613</v>
      </c>
      <c r="L168" s="9" t="s">
        <v>966</v>
      </c>
      <c r="M168" s="9" t="s">
        <v>182</v>
      </c>
      <c r="N168" s="9" t="s">
        <v>182</v>
      </c>
      <c r="O168" s="9" t="s">
        <v>113</v>
      </c>
      <c r="P168" s="9">
        <v>1</v>
      </c>
      <c r="Q168" s="9"/>
      <c r="R168" s="9"/>
      <c r="S168" s="9" t="s">
        <v>114</v>
      </c>
    </row>
    <row r="169" spans="1:19">
      <c r="A169" s="9" t="s">
        <v>19</v>
      </c>
      <c r="B169" s="9" t="s">
        <v>103</v>
      </c>
      <c r="C169" s="9" t="s">
        <v>22</v>
      </c>
      <c r="D169" s="9" t="s">
        <v>967</v>
      </c>
      <c r="E169" s="9" t="s">
        <v>968</v>
      </c>
      <c r="F169" s="9" t="s">
        <v>963</v>
      </c>
      <c r="G169" s="9" t="s">
        <v>969</v>
      </c>
      <c r="H169" s="9" t="s">
        <v>965</v>
      </c>
      <c r="I169" s="9">
        <v>2024</v>
      </c>
      <c r="J169" s="9" t="s">
        <v>158</v>
      </c>
      <c r="K169" s="9" t="s">
        <v>555</v>
      </c>
      <c r="L169" s="9" t="s">
        <v>970</v>
      </c>
      <c r="M169" s="9" t="s">
        <v>182</v>
      </c>
      <c r="N169" s="9" t="s">
        <v>182</v>
      </c>
      <c r="O169" s="9" t="s">
        <v>113</v>
      </c>
      <c r="P169" s="9">
        <v>1</v>
      </c>
      <c r="Q169" s="9"/>
      <c r="R169" s="9"/>
      <c r="S169" s="9" t="s">
        <v>114</v>
      </c>
    </row>
    <row r="170" spans="1:19">
      <c r="A170" s="9" t="s">
        <v>19</v>
      </c>
      <c r="B170" s="9" t="s">
        <v>103</v>
      </c>
      <c r="C170" s="9" t="s">
        <v>22</v>
      </c>
      <c r="D170" s="9" t="s">
        <v>971</v>
      </c>
      <c r="E170" s="9" t="s">
        <v>972</v>
      </c>
      <c r="F170" s="9" t="s">
        <v>973</v>
      </c>
      <c r="G170" s="9" t="s">
        <v>974</v>
      </c>
      <c r="H170" s="9" t="s">
        <v>975</v>
      </c>
      <c r="I170" s="9">
        <v>2024</v>
      </c>
      <c r="J170" s="9" t="s">
        <v>158</v>
      </c>
      <c r="K170" s="9" t="s">
        <v>656</v>
      </c>
      <c r="L170" s="9" t="s">
        <v>976</v>
      </c>
      <c r="M170" s="9" t="s">
        <v>182</v>
      </c>
      <c r="N170" s="9" t="s">
        <v>182</v>
      </c>
      <c r="O170" s="9" t="s">
        <v>113</v>
      </c>
      <c r="P170" s="9">
        <v>1</v>
      </c>
      <c r="Q170" s="9"/>
      <c r="R170" s="9"/>
      <c r="S170" s="9" t="s">
        <v>114</v>
      </c>
    </row>
    <row r="171" spans="1:19">
      <c r="A171" s="9" t="s">
        <v>19</v>
      </c>
      <c r="B171" s="9" t="s">
        <v>103</v>
      </c>
      <c r="C171" s="9" t="s">
        <v>22</v>
      </c>
      <c r="D171" s="9" t="s">
        <v>977</v>
      </c>
      <c r="E171" s="9" t="s">
        <v>354</v>
      </c>
      <c r="F171" s="9" t="s">
        <v>164</v>
      </c>
      <c r="G171" s="9" t="s">
        <v>978</v>
      </c>
      <c r="H171" s="9" t="s">
        <v>979</v>
      </c>
      <c r="I171" s="9">
        <v>2024</v>
      </c>
      <c r="J171" s="9" t="s">
        <v>980</v>
      </c>
      <c r="K171" s="9" t="s">
        <v>981</v>
      </c>
      <c r="L171" s="9" t="s">
        <v>356</v>
      </c>
      <c r="M171" s="9" t="s">
        <v>982</v>
      </c>
      <c r="N171" s="9" t="s">
        <v>982</v>
      </c>
      <c r="O171" s="9" t="s">
        <v>113</v>
      </c>
      <c r="P171" s="9">
        <v>1</v>
      </c>
      <c r="Q171" s="9"/>
      <c r="R171" s="9"/>
      <c r="S171" s="9" t="s">
        <v>114</v>
      </c>
    </row>
    <row r="172" spans="1:19">
      <c r="A172" s="9" t="s">
        <v>19</v>
      </c>
      <c r="B172" s="9" t="s">
        <v>103</v>
      </c>
      <c r="C172" s="9" t="s">
        <v>22</v>
      </c>
      <c r="D172" s="9" t="s">
        <v>983</v>
      </c>
      <c r="E172" s="9" t="s">
        <v>984</v>
      </c>
      <c r="F172" s="9" t="s">
        <v>660</v>
      </c>
      <c r="G172" s="9" t="s">
        <v>985</v>
      </c>
      <c r="H172" s="9" t="s">
        <v>986</v>
      </c>
      <c r="I172" s="9">
        <v>2024</v>
      </c>
      <c r="J172" s="9" t="s">
        <v>109</v>
      </c>
      <c r="K172" s="9" t="s">
        <v>259</v>
      </c>
      <c r="L172" s="9" t="s">
        <v>987</v>
      </c>
      <c r="M172" s="9" t="s">
        <v>182</v>
      </c>
      <c r="N172" s="9" t="s">
        <v>182</v>
      </c>
      <c r="O172" s="9" t="s">
        <v>113</v>
      </c>
      <c r="P172" s="9">
        <v>1</v>
      </c>
      <c r="Q172" s="9"/>
      <c r="R172" s="9"/>
      <c r="S172" s="9" t="s">
        <v>114</v>
      </c>
    </row>
    <row r="173" spans="1:19">
      <c r="A173" s="9" t="s">
        <v>19</v>
      </c>
      <c r="B173" s="9" t="s">
        <v>103</v>
      </c>
      <c r="C173" s="9" t="s">
        <v>22</v>
      </c>
      <c r="D173" s="9" t="s">
        <v>988</v>
      </c>
      <c r="E173" s="9" t="s">
        <v>989</v>
      </c>
      <c r="F173" s="9" t="s">
        <v>990</v>
      </c>
      <c r="G173" s="9" t="s">
        <v>991</v>
      </c>
      <c r="H173" s="9" t="s">
        <v>992</v>
      </c>
      <c r="I173" s="9">
        <v>2024</v>
      </c>
      <c r="J173" s="9" t="s">
        <v>158</v>
      </c>
      <c r="K173" s="9" t="s">
        <v>778</v>
      </c>
      <c r="L173" s="9" t="s">
        <v>993</v>
      </c>
      <c r="M173" s="9" t="s">
        <v>182</v>
      </c>
      <c r="N173" s="9" t="s">
        <v>182</v>
      </c>
      <c r="O173" s="9" t="s">
        <v>113</v>
      </c>
      <c r="P173" s="9">
        <v>1</v>
      </c>
      <c r="Q173" s="9"/>
      <c r="R173" s="9"/>
      <c r="S173" s="9" t="s">
        <v>114</v>
      </c>
    </row>
    <row r="174" spans="1:19">
      <c r="A174" s="9" t="s">
        <v>19</v>
      </c>
      <c r="B174" s="9" t="s">
        <v>103</v>
      </c>
      <c r="C174" s="9" t="s">
        <v>22</v>
      </c>
      <c r="D174" s="9" t="s">
        <v>994</v>
      </c>
      <c r="E174" s="9" t="s">
        <v>995</v>
      </c>
      <c r="F174" s="9" t="s">
        <v>996</v>
      </c>
      <c r="G174" s="9" t="s">
        <v>997</v>
      </c>
      <c r="H174" s="9" t="s">
        <v>998</v>
      </c>
      <c r="I174" s="9">
        <v>2024</v>
      </c>
      <c r="J174" s="9" t="s">
        <v>158</v>
      </c>
      <c r="K174" s="9" t="s">
        <v>999</v>
      </c>
      <c r="L174" s="9" t="s">
        <v>1000</v>
      </c>
      <c r="M174" s="9" t="s">
        <v>182</v>
      </c>
      <c r="N174" s="9" t="s">
        <v>182</v>
      </c>
      <c r="O174" s="9" t="s">
        <v>113</v>
      </c>
      <c r="P174" s="9">
        <v>1</v>
      </c>
      <c r="Q174" s="9"/>
      <c r="R174" s="9"/>
      <c r="S174" s="9" t="s">
        <v>114</v>
      </c>
    </row>
    <row r="175" spans="1:19">
      <c r="A175" s="9" t="s">
        <v>19</v>
      </c>
      <c r="B175" s="9" t="s">
        <v>103</v>
      </c>
      <c r="C175" s="9" t="s">
        <v>22</v>
      </c>
      <c r="D175" s="9" t="s">
        <v>1001</v>
      </c>
      <c r="E175" s="9" t="s">
        <v>1002</v>
      </c>
      <c r="F175" s="9" t="s">
        <v>845</v>
      </c>
      <c r="G175" s="9" t="s">
        <v>1003</v>
      </c>
      <c r="H175" s="9" t="s">
        <v>1004</v>
      </c>
      <c r="I175" s="9">
        <v>2025</v>
      </c>
      <c r="J175" s="9" t="s">
        <v>158</v>
      </c>
      <c r="K175" s="9" t="s">
        <v>1005</v>
      </c>
      <c r="L175" s="9" t="s">
        <v>1006</v>
      </c>
      <c r="M175" s="9" t="s">
        <v>182</v>
      </c>
      <c r="N175" s="9" t="s">
        <v>182</v>
      </c>
      <c r="O175" s="9" t="s">
        <v>113</v>
      </c>
      <c r="P175" s="9">
        <v>1</v>
      </c>
      <c r="Q175" s="9"/>
      <c r="R175" s="9"/>
      <c r="S175" s="9" t="s">
        <v>114</v>
      </c>
    </row>
    <row r="176" spans="1:19">
      <c r="A176" s="9" t="s">
        <v>19</v>
      </c>
      <c r="B176" s="9" t="s">
        <v>103</v>
      </c>
      <c r="C176" s="9" t="s">
        <v>22</v>
      </c>
      <c r="D176" s="9" t="s">
        <v>1007</v>
      </c>
      <c r="E176" s="9" t="s">
        <v>1008</v>
      </c>
      <c r="F176" s="9" t="s">
        <v>1009</v>
      </c>
      <c r="G176" s="9" t="s">
        <v>1010</v>
      </c>
      <c r="H176" s="9" t="s">
        <v>1004</v>
      </c>
      <c r="I176" s="9">
        <v>2025</v>
      </c>
      <c r="J176" s="9" t="s">
        <v>158</v>
      </c>
      <c r="K176" s="9" t="s">
        <v>1011</v>
      </c>
      <c r="L176" s="9" t="s">
        <v>1012</v>
      </c>
      <c r="M176" s="9" t="s">
        <v>182</v>
      </c>
      <c r="N176" s="9" t="s">
        <v>182</v>
      </c>
      <c r="O176" s="9" t="s">
        <v>113</v>
      </c>
      <c r="P176" s="9">
        <v>1</v>
      </c>
      <c r="Q176" s="9"/>
      <c r="R176" s="9"/>
      <c r="S176" s="9" t="s">
        <v>114</v>
      </c>
    </row>
    <row r="177" spans="1:19">
      <c r="A177" s="9" t="s">
        <v>19</v>
      </c>
      <c r="B177" s="9" t="s">
        <v>103</v>
      </c>
      <c r="C177" s="9" t="s">
        <v>22</v>
      </c>
      <c r="D177" s="9" t="s">
        <v>1013</v>
      </c>
      <c r="E177" s="9" t="s">
        <v>1014</v>
      </c>
      <c r="F177" s="9" t="s">
        <v>1015</v>
      </c>
      <c r="G177" s="9" t="s">
        <v>1016</v>
      </c>
      <c r="H177" s="9" t="s">
        <v>1004</v>
      </c>
      <c r="I177" s="9">
        <v>2025</v>
      </c>
      <c r="J177" s="9" t="s">
        <v>158</v>
      </c>
      <c r="K177" s="9" t="s">
        <v>800</v>
      </c>
      <c r="L177" s="9" t="s">
        <v>1017</v>
      </c>
      <c r="M177" s="9" t="s">
        <v>182</v>
      </c>
      <c r="N177" s="9" t="s">
        <v>182</v>
      </c>
      <c r="O177" s="9" t="s">
        <v>113</v>
      </c>
      <c r="P177" s="9">
        <v>1</v>
      </c>
      <c r="Q177" s="9"/>
      <c r="R177" s="9"/>
      <c r="S177" s="9" t="s">
        <v>114</v>
      </c>
    </row>
    <row r="178" spans="1:19">
      <c r="A178" s="9" t="s">
        <v>19</v>
      </c>
      <c r="B178" s="9" t="s">
        <v>103</v>
      </c>
      <c r="C178" s="9" t="s">
        <v>22</v>
      </c>
      <c r="D178" s="9" t="s">
        <v>1018</v>
      </c>
      <c r="E178" s="9" t="s">
        <v>1019</v>
      </c>
      <c r="F178" s="9" t="s">
        <v>1020</v>
      </c>
      <c r="G178" s="9" t="s">
        <v>1021</v>
      </c>
      <c r="H178" s="9" t="s">
        <v>1022</v>
      </c>
      <c r="I178" s="9">
        <v>2025</v>
      </c>
      <c r="J178" s="9" t="s">
        <v>158</v>
      </c>
      <c r="K178" s="9" t="s">
        <v>1023</v>
      </c>
      <c r="L178" s="9" t="s">
        <v>1024</v>
      </c>
      <c r="M178" s="9" t="s">
        <v>112</v>
      </c>
      <c r="N178" s="9" t="s">
        <v>112</v>
      </c>
      <c r="O178" s="9" t="s">
        <v>113</v>
      </c>
      <c r="P178" s="9">
        <v>1</v>
      </c>
      <c r="Q178" s="9"/>
      <c r="R178" s="9"/>
      <c r="S178" s="9" t="s">
        <v>114</v>
      </c>
    </row>
    <row r="179" spans="1:19">
      <c r="A179" s="9" t="s">
        <v>19</v>
      </c>
      <c r="B179" s="9" t="s">
        <v>103</v>
      </c>
      <c r="C179" s="9" t="s">
        <v>22</v>
      </c>
      <c r="D179" s="9" t="s">
        <v>1025</v>
      </c>
      <c r="E179" s="9" t="s">
        <v>1026</v>
      </c>
      <c r="F179" s="9" t="s">
        <v>1027</v>
      </c>
      <c r="G179" s="9" t="s">
        <v>1028</v>
      </c>
      <c r="H179" s="9" t="s">
        <v>1029</v>
      </c>
      <c r="I179" s="9">
        <v>2025</v>
      </c>
      <c r="J179" s="9" t="s">
        <v>158</v>
      </c>
      <c r="K179" s="9" t="s">
        <v>758</v>
      </c>
      <c r="L179" s="9" t="s">
        <v>1030</v>
      </c>
      <c r="M179" s="9" t="s">
        <v>182</v>
      </c>
      <c r="N179" s="9" t="s">
        <v>182</v>
      </c>
      <c r="O179" s="9" t="s">
        <v>113</v>
      </c>
      <c r="P179" s="9">
        <v>1</v>
      </c>
      <c r="Q179" s="9"/>
      <c r="R179" s="9"/>
      <c r="S179" s="9" t="s">
        <v>114</v>
      </c>
    </row>
    <row r="180" spans="1:19">
      <c r="A180" s="9" t="s">
        <v>19</v>
      </c>
      <c r="B180" s="9" t="s">
        <v>103</v>
      </c>
      <c r="C180" s="9" t="s">
        <v>22</v>
      </c>
      <c r="D180" s="9" t="s">
        <v>1031</v>
      </c>
      <c r="E180" s="9" t="s">
        <v>1032</v>
      </c>
      <c r="F180" s="9" t="s">
        <v>1033</v>
      </c>
      <c r="G180" s="9" t="s">
        <v>1034</v>
      </c>
      <c r="H180" s="9" t="s">
        <v>1035</v>
      </c>
      <c r="I180" s="9">
        <v>2025</v>
      </c>
      <c r="J180" s="9" t="s">
        <v>158</v>
      </c>
      <c r="K180" s="9" t="s">
        <v>1036</v>
      </c>
      <c r="L180" s="9" t="s">
        <v>1037</v>
      </c>
      <c r="M180" s="9" t="s">
        <v>182</v>
      </c>
      <c r="N180" s="9" t="s">
        <v>182</v>
      </c>
      <c r="O180" s="9" t="s">
        <v>113</v>
      </c>
      <c r="P180" s="9">
        <v>1</v>
      </c>
      <c r="Q180" s="9"/>
      <c r="R180" s="9"/>
      <c r="S180" s="9" t="s">
        <v>114</v>
      </c>
    </row>
    <row r="181" spans="1:19">
      <c r="A181" s="9" t="s">
        <v>19</v>
      </c>
      <c r="B181" s="9" t="s">
        <v>103</v>
      </c>
      <c r="C181" s="9" t="s">
        <v>22</v>
      </c>
      <c r="D181" s="9" t="s">
        <v>1038</v>
      </c>
      <c r="E181" s="9" t="s">
        <v>1039</v>
      </c>
      <c r="F181" s="9" t="s">
        <v>1040</v>
      </c>
      <c r="G181" s="9" t="s">
        <v>1041</v>
      </c>
      <c r="H181" s="9" t="s">
        <v>1042</v>
      </c>
      <c r="I181" s="9">
        <v>2025</v>
      </c>
      <c r="J181" s="9" t="s">
        <v>158</v>
      </c>
      <c r="K181" s="9" t="s">
        <v>1043</v>
      </c>
      <c r="L181" s="9" t="s">
        <v>1044</v>
      </c>
      <c r="M181" s="9" t="s">
        <v>182</v>
      </c>
      <c r="N181" s="9" t="s">
        <v>182</v>
      </c>
      <c r="O181" s="9" t="s">
        <v>113</v>
      </c>
      <c r="P181" s="9">
        <v>1</v>
      </c>
      <c r="Q181" s="9"/>
      <c r="R181" s="9"/>
      <c r="S181" s="9" t="s">
        <v>114</v>
      </c>
    </row>
    <row r="182" spans="1:19">
      <c r="A182" s="9" t="s">
        <v>19</v>
      </c>
      <c r="B182" s="9" t="s">
        <v>103</v>
      </c>
      <c r="C182" s="9" t="s">
        <v>22</v>
      </c>
      <c r="D182" s="9" t="s">
        <v>1045</v>
      </c>
      <c r="E182" s="9" t="s">
        <v>1046</v>
      </c>
      <c r="F182" s="9" t="s">
        <v>1047</v>
      </c>
      <c r="G182" s="9" t="s">
        <v>1048</v>
      </c>
      <c r="H182" s="9" t="s">
        <v>1042</v>
      </c>
      <c r="I182" s="9">
        <v>2025</v>
      </c>
      <c r="J182" s="9" t="s">
        <v>158</v>
      </c>
      <c r="K182" s="9" t="s">
        <v>1049</v>
      </c>
      <c r="L182" s="9" t="s">
        <v>1050</v>
      </c>
      <c r="M182" s="9" t="s">
        <v>182</v>
      </c>
      <c r="N182" s="9" t="s">
        <v>182</v>
      </c>
      <c r="O182" s="9" t="s">
        <v>113</v>
      </c>
      <c r="P182" s="9">
        <v>1</v>
      </c>
      <c r="Q182" s="9"/>
      <c r="R182" s="9"/>
      <c r="S182" s="9" t="s">
        <v>114</v>
      </c>
    </row>
    <row r="183" spans="1:19">
      <c r="A183" s="9" t="s">
        <v>19</v>
      </c>
      <c r="B183" s="9" t="s">
        <v>103</v>
      </c>
      <c r="C183" s="9" t="s">
        <v>22</v>
      </c>
      <c r="D183" s="9" t="s">
        <v>1051</v>
      </c>
      <c r="E183" s="9" t="s">
        <v>1052</v>
      </c>
      <c r="F183" s="9" t="s">
        <v>1053</v>
      </c>
      <c r="G183" s="9" t="s">
        <v>1054</v>
      </c>
      <c r="H183" s="9" t="s">
        <v>1055</v>
      </c>
      <c r="I183" s="9">
        <v>2025</v>
      </c>
      <c r="J183" s="9" t="s">
        <v>158</v>
      </c>
      <c r="K183" s="9" t="s">
        <v>1056</v>
      </c>
      <c r="L183" s="9" t="s">
        <v>1057</v>
      </c>
      <c r="M183" s="9" t="s">
        <v>182</v>
      </c>
      <c r="N183" s="9" t="s">
        <v>182</v>
      </c>
      <c r="O183" s="9" t="s">
        <v>113</v>
      </c>
      <c r="P183" s="9">
        <v>1</v>
      </c>
      <c r="Q183" s="9"/>
      <c r="R183" s="9"/>
      <c r="S183" s="9" t="s">
        <v>114</v>
      </c>
    </row>
    <row r="184" spans="1:19">
      <c r="A184" s="9" t="s">
        <v>19</v>
      </c>
      <c r="B184" s="9" t="s">
        <v>103</v>
      </c>
      <c r="C184" s="9" t="s">
        <v>22</v>
      </c>
      <c r="D184" s="9" t="s">
        <v>1058</v>
      </c>
      <c r="E184" s="9" t="s">
        <v>1059</v>
      </c>
      <c r="F184" s="9" t="s">
        <v>1060</v>
      </c>
      <c r="G184" s="9" t="s">
        <v>1061</v>
      </c>
      <c r="H184" s="9" t="s">
        <v>1062</v>
      </c>
      <c r="I184" s="9">
        <v>2025</v>
      </c>
      <c r="J184" s="9" t="s">
        <v>158</v>
      </c>
      <c r="K184" s="9" t="s">
        <v>1063</v>
      </c>
      <c r="L184" s="9" t="s">
        <v>1064</v>
      </c>
      <c r="M184" s="9" t="s">
        <v>182</v>
      </c>
      <c r="N184" s="9" t="s">
        <v>182</v>
      </c>
      <c r="O184" s="9" t="s">
        <v>113</v>
      </c>
      <c r="P184" s="9">
        <v>1</v>
      </c>
      <c r="Q184" s="9"/>
      <c r="R184" s="9"/>
      <c r="S184" s="9" t="s">
        <v>114</v>
      </c>
    </row>
    <row r="185" spans="1:19">
      <c r="A185" s="9" t="s">
        <v>19</v>
      </c>
      <c r="B185" s="9" t="s">
        <v>103</v>
      </c>
      <c r="C185" s="9" t="s">
        <v>22</v>
      </c>
      <c r="D185" s="9" t="s">
        <v>1065</v>
      </c>
      <c r="E185" s="9" t="s">
        <v>1066</v>
      </c>
      <c r="F185" s="9" t="s">
        <v>1067</v>
      </c>
      <c r="G185" s="9" t="s">
        <v>1068</v>
      </c>
      <c r="H185" s="9" t="s">
        <v>1062</v>
      </c>
      <c r="I185" s="9">
        <v>2025</v>
      </c>
      <c r="J185" s="9" t="s">
        <v>158</v>
      </c>
      <c r="K185" s="9" t="s">
        <v>1069</v>
      </c>
      <c r="L185" s="9" t="s">
        <v>1070</v>
      </c>
      <c r="M185" s="9" t="s">
        <v>182</v>
      </c>
      <c r="N185" s="9" t="s">
        <v>182</v>
      </c>
      <c r="O185" s="9" t="s">
        <v>113</v>
      </c>
      <c r="P185" s="9">
        <v>1</v>
      </c>
      <c r="Q185" s="9"/>
      <c r="R185" s="9"/>
      <c r="S185" s="9" t="s">
        <v>114</v>
      </c>
    </row>
    <row r="186" spans="1:19">
      <c r="A186" s="9" t="s">
        <v>19</v>
      </c>
      <c r="B186" s="9" t="s">
        <v>103</v>
      </c>
      <c r="C186" s="9" t="s">
        <v>22</v>
      </c>
      <c r="D186" s="9" t="s">
        <v>1071</v>
      </c>
      <c r="E186" s="9" t="s">
        <v>1072</v>
      </c>
      <c r="F186" s="9" t="s">
        <v>1073</v>
      </c>
      <c r="G186" s="9" t="s">
        <v>1074</v>
      </c>
      <c r="H186" s="9" t="s">
        <v>1075</v>
      </c>
      <c r="I186" s="9">
        <v>2025</v>
      </c>
      <c r="J186" s="9" t="s">
        <v>158</v>
      </c>
      <c r="K186" s="9" t="s">
        <v>852</v>
      </c>
      <c r="L186" s="9" t="s">
        <v>1076</v>
      </c>
      <c r="M186" s="9" t="s">
        <v>182</v>
      </c>
      <c r="N186" s="9" t="s">
        <v>182</v>
      </c>
      <c r="O186" s="9" t="s">
        <v>113</v>
      </c>
      <c r="P186" s="9">
        <v>1</v>
      </c>
      <c r="Q186" s="9"/>
      <c r="R186" s="9"/>
      <c r="S186" s="9" t="s">
        <v>114</v>
      </c>
    </row>
    <row r="187" spans="1:19">
      <c r="A187" s="9" t="s">
        <v>19</v>
      </c>
      <c r="B187" s="9" t="s">
        <v>103</v>
      </c>
      <c r="C187" s="9" t="s">
        <v>22</v>
      </c>
      <c r="D187" s="9" t="s">
        <v>1077</v>
      </c>
      <c r="E187" s="9" t="s">
        <v>1078</v>
      </c>
      <c r="F187" s="9" t="s">
        <v>1079</v>
      </c>
      <c r="G187" s="9" t="s">
        <v>1080</v>
      </c>
      <c r="H187" s="9" t="s">
        <v>1081</v>
      </c>
      <c r="I187" s="9">
        <v>2025</v>
      </c>
      <c r="J187" s="9" t="s">
        <v>158</v>
      </c>
      <c r="K187" s="9" t="s">
        <v>860</v>
      </c>
      <c r="L187" s="9" t="s">
        <v>1082</v>
      </c>
      <c r="M187" s="9" t="s">
        <v>182</v>
      </c>
      <c r="N187" s="9" t="s">
        <v>182</v>
      </c>
      <c r="O187" s="9" t="s">
        <v>113</v>
      </c>
      <c r="P187" s="9">
        <v>1</v>
      </c>
      <c r="Q187" s="9"/>
      <c r="R187" s="9"/>
      <c r="S187" s="9" t="s">
        <v>114</v>
      </c>
    </row>
    <row r="188" spans="1:19">
      <c r="A188" s="9" t="s">
        <v>19</v>
      </c>
      <c r="B188" s="9" t="s">
        <v>103</v>
      </c>
      <c r="C188" s="9" t="s">
        <v>22</v>
      </c>
      <c r="D188" s="9" t="s">
        <v>1083</v>
      </c>
      <c r="E188" s="9" t="s">
        <v>1084</v>
      </c>
      <c r="F188" s="9" t="s">
        <v>1085</v>
      </c>
      <c r="G188" s="9" t="s">
        <v>1086</v>
      </c>
      <c r="H188" s="9" t="s">
        <v>1087</v>
      </c>
      <c r="I188" s="9">
        <v>2025</v>
      </c>
      <c r="J188" s="9" t="s">
        <v>158</v>
      </c>
      <c r="K188" s="9" t="s">
        <v>856</v>
      </c>
      <c r="L188" s="9" t="s">
        <v>1088</v>
      </c>
      <c r="M188" s="9" t="s">
        <v>112</v>
      </c>
      <c r="N188" s="9" t="s">
        <v>112</v>
      </c>
      <c r="O188" s="9" t="s">
        <v>113</v>
      </c>
      <c r="P188" s="9">
        <v>1</v>
      </c>
      <c r="Q188" s="9"/>
      <c r="R188" s="9"/>
      <c r="S188" s="9" t="s">
        <v>114</v>
      </c>
    </row>
    <row r="189" spans="1:19">
      <c r="A189" s="9" t="s">
        <v>19</v>
      </c>
      <c r="B189" s="9" t="s">
        <v>103</v>
      </c>
      <c r="C189" s="9" t="s">
        <v>22</v>
      </c>
      <c r="D189" s="9" t="s">
        <v>1089</v>
      </c>
      <c r="E189" s="9" t="s">
        <v>1090</v>
      </c>
      <c r="F189" s="9" t="s">
        <v>1091</v>
      </c>
      <c r="G189" s="9" t="s">
        <v>1092</v>
      </c>
      <c r="H189" s="9" t="s">
        <v>1093</v>
      </c>
      <c r="I189" s="9">
        <v>2025</v>
      </c>
      <c r="J189" s="9" t="s">
        <v>158</v>
      </c>
      <c r="K189" s="9" t="s">
        <v>1094</v>
      </c>
      <c r="L189" s="9" t="s">
        <v>1095</v>
      </c>
      <c r="M189" s="9" t="s">
        <v>182</v>
      </c>
      <c r="N189" s="9" t="s">
        <v>182</v>
      </c>
      <c r="O189" s="9" t="s">
        <v>113</v>
      </c>
      <c r="P189" s="9">
        <v>1</v>
      </c>
      <c r="Q189" s="9"/>
      <c r="R189" s="9"/>
      <c r="S189" s="9" t="s">
        <v>114</v>
      </c>
    </row>
    <row r="190" spans="1:19">
      <c r="A190" s="9" t="s">
        <v>19</v>
      </c>
      <c r="B190" s="9" t="s">
        <v>103</v>
      </c>
      <c r="C190" s="9" t="s">
        <v>22</v>
      </c>
      <c r="D190" s="9" t="s">
        <v>1096</v>
      </c>
      <c r="E190" s="9" t="s">
        <v>1097</v>
      </c>
      <c r="F190" s="9" t="s">
        <v>1098</v>
      </c>
      <c r="G190" s="9" t="s">
        <v>1099</v>
      </c>
      <c r="H190" s="9" t="s">
        <v>1093</v>
      </c>
      <c r="I190" s="9">
        <v>2025</v>
      </c>
      <c r="J190" s="9" t="s">
        <v>158</v>
      </c>
      <c r="K190" s="9" t="s">
        <v>1100</v>
      </c>
      <c r="L190" s="9" t="s">
        <v>1101</v>
      </c>
      <c r="M190" s="9" t="s">
        <v>112</v>
      </c>
      <c r="N190" s="9" t="s">
        <v>112</v>
      </c>
      <c r="O190" s="9" t="s">
        <v>113</v>
      </c>
      <c r="P190" s="9">
        <v>1</v>
      </c>
      <c r="Q190" s="9"/>
      <c r="R190" s="9"/>
      <c r="S190" s="9" t="s">
        <v>114</v>
      </c>
    </row>
    <row r="191" spans="1:19">
      <c r="A191" s="9" t="s">
        <v>19</v>
      </c>
      <c r="B191" s="9" t="s">
        <v>103</v>
      </c>
      <c r="C191" s="9" t="s">
        <v>22</v>
      </c>
      <c r="D191" s="9" t="s">
        <v>1102</v>
      </c>
      <c r="E191" s="9" t="s">
        <v>1103</v>
      </c>
      <c r="F191" s="9" t="s">
        <v>1104</v>
      </c>
      <c r="G191" s="9" t="s">
        <v>1105</v>
      </c>
      <c r="H191" s="9" t="s">
        <v>1106</v>
      </c>
      <c r="I191" s="9">
        <v>2025</v>
      </c>
      <c r="J191" s="9" t="s">
        <v>158</v>
      </c>
      <c r="K191" s="9" t="s">
        <v>1005</v>
      </c>
      <c r="L191" s="9" t="s">
        <v>1107</v>
      </c>
      <c r="M191" s="9" t="s">
        <v>182</v>
      </c>
      <c r="N191" s="9" t="s">
        <v>182</v>
      </c>
      <c r="O191" s="9" t="s">
        <v>113</v>
      </c>
      <c r="P191" s="9">
        <v>1</v>
      </c>
      <c r="Q191" s="9"/>
      <c r="R191" s="9"/>
      <c r="S191" s="9" t="s">
        <v>114</v>
      </c>
    </row>
    <row r="192" spans="1:19">
      <c r="A192" s="9" t="s">
        <v>19</v>
      </c>
      <c r="B192" s="9" t="s">
        <v>103</v>
      </c>
      <c r="C192" s="9" t="s">
        <v>22</v>
      </c>
      <c r="D192" s="9" t="s">
        <v>1108</v>
      </c>
      <c r="E192" s="9" t="s">
        <v>1109</v>
      </c>
      <c r="F192" s="9" t="s">
        <v>660</v>
      </c>
      <c r="G192" s="9" t="s">
        <v>1110</v>
      </c>
      <c r="H192" s="9" t="s">
        <v>1111</v>
      </c>
      <c r="I192" s="9">
        <v>2025</v>
      </c>
      <c r="J192" s="9" t="s">
        <v>109</v>
      </c>
      <c r="K192" s="9" t="s">
        <v>246</v>
      </c>
      <c r="L192" s="9" t="s">
        <v>1112</v>
      </c>
      <c r="M192" s="9" t="s">
        <v>182</v>
      </c>
      <c r="N192" s="9" t="s">
        <v>182</v>
      </c>
      <c r="O192" s="9" t="s">
        <v>113</v>
      </c>
      <c r="P192" s="9">
        <v>1</v>
      </c>
      <c r="Q192" s="9"/>
      <c r="R192" s="9"/>
      <c r="S192" s="9" t="s">
        <v>114</v>
      </c>
    </row>
    <row r="193" spans="1:19">
      <c r="A193" s="9" t="s">
        <v>19</v>
      </c>
      <c r="B193" s="9" t="s">
        <v>103</v>
      </c>
      <c r="C193" s="9" t="s">
        <v>22</v>
      </c>
      <c r="D193" s="9" t="s">
        <v>1113</v>
      </c>
      <c r="E193" s="9" t="s">
        <v>1114</v>
      </c>
      <c r="F193" s="9" t="s">
        <v>1115</v>
      </c>
      <c r="G193" s="9" t="s">
        <v>1116</v>
      </c>
      <c r="H193" s="9" t="s">
        <v>1117</v>
      </c>
      <c r="I193" s="9">
        <v>2025</v>
      </c>
      <c r="J193" s="9" t="s">
        <v>158</v>
      </c>
      <c r="K193" s="9" t="s">
        <v>1118</v>
      </c>
      <c r="L193" s="9" t="s">
        <v>1119</v>
      </c>
      <c r="M193" s="9" t="s">
        <v>182</v>
      </c>
      <c r="N193" s="9" t="s">
        <v>182</v>
      </c>
      <c r="O193" s="9" t="s">
        <v>113</v>
      </c>
      <c r="P193" s="9">
        <v>1</v>
      </c>
      <c r="Q193" s="9"/>
      <c r="R193" s="9"/>
      <c r="S193" s="9" t="s">
        <v>114</v>
      </c>
    </row>
    <row r="194" spans="1:19">
      <c r="A194" s="9" t="s">
        <v>19</v>
      </c>
      <c r="B194" s="9" t="s">
        <v>103</v>
      </c>
      <c r="C194" s="9" t="s">
        <v>22</v>
      </c>
      <c r="D194" s="9" t="s">
        <v>1120</v>
      </c>
      <c r="E194" s="9" t="s">
        <v>1121</v>
      </c>
      <c r="F194" s="9" t="s">
        <v>1122</v>
      </c>
      <c r="G194" s="9" t="s">
        <v>1123</v>
      </c>
      <c r="H194" s="9" t="s">
        <v>1124</v>
      </c>
      <c r="I194" s="9">
        <v>2025</v>
      </c>
      <c r="J194" s="9" t="s">
        <v>158</v>
      </c>
      <c r="K194" s="9" t="s">
        <v>1125</v>
      </c>
      <c r="L194" s="9" t="s">
        <v>1126</v>
      </c>
      <c r="M194" s="9" t="s">
        <v>182</v>
      </c>
      <c r="N194" s="9" t="s">
        <v>182</v>
      </c>
      <c r="O194" s="9" t="s">
        <v>113</v>
      </c>
      <c r="P194" s="9">
        <v>1</v>
      </c>
      <c r="Q194" s="9"/>
      <c r="R194" s="9"/>
      <c r="S194" s="9" t="s">
        <v>114</v>
      </c>
    </row>
    <row r="195" spans="1:19">
      <c r="A195" s="9" t="s">
        <v>19</v>
      </c>
      <c r="B195" s="9" t="s">
        <v>103</v>
      </c>
      <c r="C195" s="9" t="s">
        <v>22</v>
      </c>
      <c r="D195" s="9" t="s">
        <v>1127</v>
      </c>
      <c r="E195" s="9" t="s">
        <v>1128</v>
      </c>
      <c r="F195" s="9" t="s">
        <v>1122</v>
      </c>
      <c r="G195" s="9" t="s">
        <v>1129</v>
      </c>
      <c r="H195" s="9" t="s">
        <v>1124</v>
      </c>
      <c r="I195" s="9">
        <v>2025</v>
      </c>
      <c r="J195" s="9" t="s">
        <v>158</v>
      </c>
      <c r="K195" s="9" t="s">
        <v>1130</v>
      </c>
      <c r="L195" s="9" t="s">
        <v>1131</v>
      </c>
      <c r="M195" s="9" t="s">
        <v>182</v>
      </c>
      <c r="N195" s="9" t="s">
        <v>182</v>
      </c>
      <c r="O195" s="9" t="s">
        <v>113</v>
      </c>
      <c r="P195" s="9">
        <v>1</v>
      </c>
      <c r="Q195" s="9"/>
      <c r="R195" s="9"/>
      <c r="S195" s="9" t="s">
        <v>114</v>
      </c>
    </row>
    <row r="196" spans="1:19">
      <c r="A196" s="9" t="s">
        <v>19</v>
      </c>
      <c r="B196" s="9" t="s">
        <v>103</v>
      </c>
      <c r="C196" s="9" t="s">
        <v>22</v>
      </c>
      <c r="D196" s="9" t="s">
        <v>1132</v>
      </c>
      <c r="E196" s="9" t="s">
        <v>1133</v>
      </c>
      <c r="F196" s="9" t="s">
        <v>1134</v>
      </c>
      <c r="G196" s="9" t="s">
        <v>1135</v>
      </c>
      <c r="H196" s="9" t="s">
        <v>1136</v>
      </c>
      <c r="I196" s="9">
        <v>2025</v>
      </c>
      <c r="J196" s="9" t="s">
        <v>158</v>
      </c>
      <c r="K196" s="9" t="s">
        <v>1137</v>
      </c>
      <c r="L196" s="9" t="s">
        <v>1138</v>
      </c>
      <c r="M196" s="9" t="s">
        <v>182</v>
      </c>
      <c r="N196" s="9" t="s">
        <v>182</v>
      </c>
      <c r="O196" s="9" t="s">
        <v>113</v>
      </c>
      <c r="P196" s="9">
        <v>1</v>
      </c>
      <c r="Q196" s="9"/>
      <c r="R196" s="9"/>
      <c r="S196" s="9" t="s">
        <v>114</v>
      </c>
    </row>
    <row r="197" spans="1:19">
      <c r="A197" s="9" t="s">
        <v>19</v>
      </c>
      <c r="B197" s="9" t="s">
        <v>103</v>
      </c>
      <c r="C197" s="9" t="s">
        <v>22</v>
      </c>
      <c r="D197" s="9" t="s">
        <v>1139</v>
      </c>
      <c r="E197" s="9" t="s">
        <v>1140</v>
      </c>
      <c r="F197" s="9" t="s">
        <v>1141</v>
      </c>
      <c r="G197" s="9" t="s">
        <v>1142</v>
      </c>
      <c r="H197" s="9" t="s">
        <v>1136</v>
      </c>
      <c r="I197" s="9">
        <v>2025</v>
      </c>
      <c r="J197" s="9" t="s">
        <v>158</v>
      </c>
      <c r="K197" s="9" t="s">
        <v>1143</v>
      </c>
      <c r="L197" s="9" t="s">
        <v>1144</v>
      </c>
      <c r="M197" s="9" t="s">
        <v>182</v>
      </c>
      <c r="N197" s="9" t="s">
        <v>182</v>
      </c>
      <c r="O197" s="9" t="s">
        <v>113</v>
      </c>
      <c r="P197" s="9">
        <v>1</v>
      </c>
      <c r="Q197" s="9"/>
      <c r="R197" s="9"/>
      <c r="S197" s="9" t="s">
        <v>114</v>
      </c>
    </row>
    <row r="198" spans="1:19">
      <c r="A198" s="9" t="s">
        <v>19</v>
      </c>
      <c r="B198" s="9" t="s">
        <v>103</v>
      </c>
      <c r="C198" s="9" t="s">
        <v>22</v>
      </c>
      <c r="D198" s="9" t="s">
        <v>1145</v>
      </c>
      <c r="E198" s="9" t="s">
        <v>1146</v>
      </c>
      <c r="F198" s="9" t="s">
        <v>1147</v>
      </c>
      <c r="G198" s="9" t="s">
        <v>1148</v>
      </c>
      <c r="H198" s="9" t="s">
        <v>1149</v>
      </c>
      <c r="I198" s="9">
        <v>2025</v>
      </c>
      <c r="J198" s="9" t="s">
        <v>158</v>
      </c>
      <c r="K198" s="9" t="s">
        <v>1150</v>
      </c>
      <c r="L198" s="9" t="s">
        <v>1151</v>
      </c>
      <c r="M198" s="9" t="s">
        <v>182</v>
      </c>
      <c r="N198" s="9" t="s">
        <v>182</v>
      </c>
      <c r="O198" s="9" t="s">
        <v>113</v>
      </c>
      <c r="P198" s="9">
        <v>1</v>
      </c>
      <c r="Q198" s="9"/>
      <c r="R198" s="9"/>
      <c r="S198" s="9" t="s">
        <v>114</v>
      </c>
    </row>
    <row r="199" spans="1:19">
      <c r="A199" s="9" t="s">
        <v>19</v>
      </c>
      <c r="B199" s="9" t="s">
        <v>103</v>
      </c>
      <c r="C199" s="9" t="s">
        <v>22</v>
      </c>
      <c r="D199" s="9" t="s">
        <v>1152</v>
      </c>
      <c r="E199" s="9" t="s">
        <v>1153</v>
      </c>
      <c r="F199" s="9" t="s">
        <v>1122</v>
      </c>
      <c r="G199" s="9" t="s">
        <v>1154</v>
      </c>
      <c r="H199" s="9" t="s">
        <v>1149</v>
      </c>
      <c r="I199" s="9">
        <v>2025</v>
      </c>
      <c r="J199" s="9" t="s">
        <v>158</v>
      </c>
      <c r="K199" s="9" t="s">
        <v>1155</v>
      </c>
      <c r="L199" s="9" t="s">
        <v>1156</v>
      </c>
      <c r="M199" s="9" t="s">
        <v>182</v>
      </c>
      <c r="N199" s="9" t="s">
        <v>182</v>
      </c>
      <c r="O199" s="9" t="s">
        <v>113</v>
      </c>
      <c r="P199" s="9">
        <v>1</v>
      </c>
      <c r="Q199" s="9"/>
      <c r="R199" s="9"/>
      <c r="S199" s="9" t="s">
        <v>114</v>
      </c>
    </row>
    <row r="200" spans="1:19">
      <c r="A200" s="9" t="s">
        <v>19</v>
      </c>
      <c r="B200" s="9" t="s">
        <v>103</v>
      </c>
      <c r="C200" s="9" t="s">
        <v>22</v>
      </c>
      <c r="D200" s="9" t="s">
        <v>1157</v>
      </c>
      <c r="E200" s="9" t="s">
        <v>1158</v>
      </c>
      <c r="F200" s="9" t="s">
        <v>752</v>
      </c>
      <c r="G200" s="9" t="s">
        <v>1159</v>
      </c>
      <c r="H200" s="9" t="s">
        <v>1160</v>
      </c>
      <c r="I200" s="9">
        <v>2025</v>
      </c>
      <c r="J200" s="9" t="s">
        <v>351</v>
      </c>
      <c r="K200" s="9" t="s">
        <v>811</v>
      </c>
      <c r="L200" s="9" t="s">
        <v>1161</v>
      </c>
      <c r="M200" s="9" t="s">
        <v>895</v>
      </c>
      <c r="N200" s="9" t="s">
        <v>895</v>
      </c>
      <c r="O200" s="9" t="s">
        <v>113</v>
      </c>
      <c r="P200" s="9">
        <v>1</v>
      </c>
      <c r="Q200" s="9"/>
      <c r="R200" s="9"/>
      <c r="S200" s="9" t="s">
        <v>114</v>
      </c>
    </row>
    <row r="201" spans="1:19">
      <c r="A201" s="9" t="s">
        <v>19</v>
      </c>
      <c r="B201" s="9" t="s">
        <v>103</v>
      </c>
      <c r="C201" s="9" t="s">
        <v>22</v>
      </c>
      <c r="D201" s="9" t="s">
        <v>1162</v>
      </c>
      <c r="E201" s="9" t="s">
        <v>1163</v>
      </c>
      <c r="F201" s="9" t="s">
        <v>855</v>
      </c>
      <c r="G201" s="9" t="s">
        <v>1164</v>
      </c>
      <c r="H201" s="9" t="s">
        <v>1160</v>
      </c>
      <c r="I201" s="9">
        <v>2025</v>
      </c>
      <c r="J201" s="9" t="s">
        <v>351</v>
      </c>
      <c r="K201" s="9" t="s">
        <v>364</v>
      </c>
      <c r="L201" s="9" t="s">
        <v>933</v>
      </c>
      <c r="M201" s="9" t="s">
        <v>895</v>
      </c>
      <c r="N201" s="9" t="s">
        <v>895</v>
      </c>
      <c r="O201" s="9" t="s">
        <v>113</v>
      </c>
      <c r="P201" s="9">
        <v>1</v>
      </c>
      <c r="Q201" s="9"/>
      <c r="R201" s="9"/>
      <c r="S201" s="9" t="s">
        <v>114</v>
      </c>
    </row>
    <row r="202" spans="1:19">
      <c r="A202" s="9" t="s">
        <v>19</v>
      </c>
      <c r="B202" s="9" t="s">
        <v>103</v>
      </c>
      <c r="C202" s="9" t="s">
        <v>22</v>
      </c>
      <c r="D202" s="9" t="s">
        <v>1165</v>
      </c>
      <c r="E202" s="9" t="s">
        <v>1166</v>
      </c>
      <c r="F202" s="9" t="s">
        <v>1147</v>
      </c>
      <c r="G202" s="9" t="s">
        <v>1167</v>
      </c>
      <c r="H202" s="9" t="s">
        <v>1168</v>
      </c>
      <c r="I202" s="9">
        <v>2025</v>
      </c>
      <c r="J202" s="9" t="s">
        <v>158</v>
      </c>
      <c r="K202" s="9" t="s">
        <v>1169</v>
      </c>
      <c r="L202" s="9" t="s">
        <v>1170</v>
      </c>
      <c r="M202" s="9" t="s">
        <v>182</v>
      </c>
      <c r="N202" s="9" t="s">
        <v>182</v>
      </c>
      <c r="O202" s="9" t="s">
        <v>113</v>
      </c>
      <c r="P202" s="9">
        <v>1</v>
      </c>
      <c r="Q202" s="9"/>
      <c r="R202" s="9"/>
      <c r="S202" s="9" t="s">
        <v>114</v>
      </c>
    </row>
    <row r="203" spans="1:19">
      <c r="A203" s="9" t="s">
        <v>19</v>
      </c>
      <c r="B203" s="9" t="s">
        <v>103</v>
      </c>
      <c r="C203" s="9" t="s">
        <v>22</v>
      </c>
      <c r="D203" s="9" t="s">
        <v>1171</v>
      </c>
      <c r="E203" s="9" t="s">
        <v>1172</v>
      </c>
      <c r="F203" s="9" t="s">
        <v>1147</v>
      </c>
      <c r="G203" s="9" t="s">
        <v>1173</v>
      </c>
      <c r="H203" s="9" t="s">
        <v>1168</v>
      </c>
      <c r="I203" s="9">
        <v>2025</v>
      </c>
      <c r="J203" s="9" t="s">
        <v>158</v>
      </c>
      <c r="K203" s="9" t="s">
        <v>1174</v>
      </c>
      <c r="L203" s="9" t="s">
        <v>1175</v>
      </c>
      <c r="M203" s="9" t="s">
        <v>182</v>
      </c>
      <c r="N203" s="9" t="s">
        <v>182</v>
      </c>
      <c r="O203" s="9" t="s">
        <v>113</v>
      </c>
      <c r="P203" s="9">
        <v>1</v>
      </c>
      <c r="Q203" s="9"/>
      <c r="R203" s="9"/>
      <c r="S203" s="9" t="s">
        <v>114</v>
      </c>
    </row>
    <row r="204" spans="1:19">
      <c r="A204" s="9" t="s">
        <v>19</v>
      </c>
      <c r="B204" s="9" t="s">
        <v>103</v>
      </c>
      <c r="C204" s="9" t="s">
        <v>22</v>
      </c>
      <c r="D204" s="9" t="s">
        <v>1176</v>
      </c>
      <c r="E204" s="9" t="s">
        <v>1177</v>
      </c>
      <c r="F204" s="9" t="s">
        <v>1178</v>
      </c>
      <c r="G204" s="9" t="s">
        <v>1179</v>
      </c>
      <c r="H204" s="9" t="s">
        <v>1168</v>
      </c>
      <c r="I204" s="9">
        <v>2025</v>
      </c>
      <c r="J204" s="9" t="s">
        <v>158</v>
      </c>
      <c r="K204" s="9" t="s">
        <v>1180</v>
      </c>
      <c r="L204" s="9" t="s">
        <v>1181</v>
      </c>
      <c r="M204" s="9" t="s">
        <v>182</v>
      </c>
      <c r="N204" s="9" t="s">
        <v>182</v>
      </c>
      <c r="O204" s="9" t="s">
        <v>113</v>
      </c>
      <c r="P204" s="9">
        <v>1</v>
      </c>
      <c r="Q204" s="9"/>
      <c r="R204" s="9"/>
      <c r="S204" s="9" t="s">
        <v>114</v>
      </c>
    </row>
    <row r="205" spans="1:19">
      <c r="A205" s="9" t="s">
        <v>19</v>
      </c>
      <c r="B205" s="9" t="s">
        <v>103</v>
      </c>
      <c r="C205" s="9" t="s">
        <v>22</v>
      </c>
      <c r="D205" s="9" t="s">
        <v>1182</v>
      </c>
      <c r="E205" s="9" t="s">
        <v>1183</v>
      </c>
      <c r="F205" s="9" t="s">
        <v>1184</v>
      </c>
      <c r="G205" s="9" t="s">
        <v>1185</v>
      </c>
      <c r="H205" s="9" t="s">
        <v>1186</v>
      </c>
      <c r="I205" s="9">
        <v>2025</v>
      </c>
      <c r="J205" s="9" t="s">
        <v>158</v>
      </c>
      <c r="K205" s="9" t="s">
        <v>1187</v>
      </c>
      <c r="L205" s="9" t="s">
        <v>1188</v>
      </c>
      <c r="M205" s="9" t="s">
        <v>182</v>
      </c>
      <c r="N205" s="9" t="s">
        <v>182</v>
      </c>
      <c r="O205" s="9" t="s">
        <v>113</v>
      </c>
      <c r="P205" s="9">
        <v>1</v>
      </c>
      <c r="Q205" s="9"/>
      <c r="R205" s="9"/>
      <c r="S205" s="9" t="s">
        <v>114</v>
      </c>
    </row>
    <row r="206" spans="1:19">
      <c r="A206" s="9" t="s">
        <v>19</v>
      </c>
      <c r="B206" s="9" t="s">
        <v>103</v>
      </c>
      <c r="C206" s="9" t="s">
        <v>22</v>
      </c>
      <c r="D206" s="9" t="s">
        <v>1189</v>
      </c>
      <c r="E206" s="9" t="s">
        <v>1190</v>
      </c>
      <c r="F206" s="9" t="s">
        <v>1191</v>
      </c>
      <c r="G206" s="9" t="s">
        <v>1192</v>
      </c>
      <c r="H206" s="9" t="s">
        <v>1186</v>
      </c>
      <c r="I206" s="9">
        <v>2025</v>
      </c>
      <c r="J206" s="9" t="s">
        <v>158</v>
      </c>
      <c r="K206" s="9" t="s">
        <v>1193</v>
      </c>
      <c r="L206" s="9" t="s">
        <v>1194</v>
      </c>
      <c r="M206" s="9" t="s">
        <v>182</v>
      </c>
      <c r="N206" s="9" t="s">
        <v>182</v>
      </c>
      <c r="O206" s="9" t="s">
        <v>113</v>
      </c>
      <c r="P206" s="9">
        <v>1</v>
      </c>
      <c r="Q206" s="9"/>
      <c r="R206" s="9"/>
      <c r="S206" s="9" t="s">
        <v>114</v>
      </c>
    </row>
    <row r="207" spans="1:19">
      <c r="A207" s="9" t="s">
        <v>19</v>
      </c>
      <c r="B207" s="9" t="s">
        <v>103</v>
      </c>
      <c r="C207" s="9" t="s">
        <v>22</v>
      </c>
      <c r="D207" s="9" t="s">
        <v>1195</v>
      </c>
      <c r="E207" s="9" t="s">
        <v>1196</v>
      </c>
      <c r="F207" s="9" t="s">
        <v>1197</v>
      </c>
      <c r="G207" s="9" t="s">
        <v>1198</v>
      </c>
      <c r="H207" s="9" t="s">
        <v>1199</v>
      </c>
      <c r="I207" s="9">
        <v>2025</v>
      </c>
      <c r="J207" s="9" t="s">
        <v>158</v>
      </c>
      <c r="K207" s="9" t="s">
        <v>1200</v>
      </c>
      <c r="L207" s="9" t="s">
        <v>1201</v>
      </c>
      <c r="M207" s="9" t="s">
        <v>182</v>
      </c>
      <c r="N207" s="9" t="s">
        <v>182</v>
      </c>
      <c r="O207" s="9" t="s">
        <v>113</v>
      </c>
      <c r="P207" s="9">
        <v>1</v>
      </c>
      <c r="Q207" s="9"/>
      <c r="R207" s="9"/>
      <c r="S207" s="9" t="s">
        <v>114</v>
      </c>
    </row>
    <row r="208" spans="1:19">
      <c r="A208" s="9" t="s">
        <v>19</v>
      </c>
      <c r="B208" s="9" t="s">
        <v>103</v>
      </c>
      <c r="C208" s="9" t="s">
        <v>22</v>
      </c>
      <c r="D208" s="9" t="s">
        <v>1202</v>
      </c>
      <c r="E208" s="9" t="s">
        <v>1203</v>
      </c>
      <c r="F208" s="9" t="s">
        <v>1204</v>
      </c>
      <c r="G208" s="9" t="s">
        <v>1205</v>
      </c>
      <c r="H208" s="9" t="s">
        <v>1206</v>
      </c>
      <c r="I208" s="9">
        <v>2025</v>
      </c>
      <c r="J208" s="9" t="s">
        <v>158</v>
      </c>
      <c r="K208" s="9" t="s">
        <v>1207</v>
      </c>
      <c r="L208" s="9" t="s">
        <v>1208</v>
      </c>
      <c r="M208" s="9" t="s">
        <v>182</v>
      </c>
      <c r="N208" s="9" t="s">
        <v>182</v>
      </c>
      <c r="O208" s="9" t="s">
        <v>113</v>
      </c>
      <c r="P208" s="9">
        <v>1</v>
      </c>
      <c r="Q208" s="9"/>
      <c r="R208" s="9"/>
      <c r="S208" s="9" t="s">
        <v>114</v>
      </c>
    </row>
    <row r="209" spans="1:19">
      <c r="A209" s="9" t="s">
        <v>19</v>
      </c>
      <c r="B209" s="9" t="s">
        <v>103</v>
      </c>
      <c r="C209" s="9" t="s">
        <v>22</v>
      </c>
      <c r="D209" s="9" t="s">
        <v>1209</v>
      </c>
      <c r="E209" s="9" t="s">
        <v>1210</v>
      </c>
      <c r="F209" s="9" t="s">
        <v>1211</v>
      </c>
      <c r="G209" s="9" t="s">
        <v>1212</v>
      </c>
      <c r="H209" s="9" t="s">
        <v>1213</v>
      </c>
      <c r="I209" s="9">
        <v>2025</v>
      </c>
      <c r="J209" s="9" t="s">
        <v>158</v>
      </c>
      <c r="K209" s="9" t="s">
        <v>1214</v>
      </c>
      <c r="L209" s="9" t="s">
        <v>1215</v>
      </c>
      <c r="M209" s="9" t="s">
        <v>182</v>
      </c>
      <c r="N209" s="9" t="s">
        <v>182</v>
      </c>
      <c r="O209" s="9" t="s">
        <v>113</v>
      </c>
      <c r="P209" s="9">
        <v>1</v>
      </c>
      <c r="Q209" s="9"/>
      <c r="R209" s="9"/>
      <c r="S209" s="9" t="s">
        <v>114</v>
      </c>
    </row>
    <row r="210" spans="1:19">
      <c r="A210" s="9" t="s">
        <v>19</v>
      </c>
      <c r="B210" s="9" t="s">
        <v>103</v>
      </c>
      <c r="C210" s="9" t="s">
        <v>22</v>
      </c>
      <c r="D210" s="9" t="s">
        <v>1216</v>
      </c>
      <c r="E210" s="9" t="s">
        <v>1217</v>
      </c>
      <c r="F210" s="9" t="s">
        <v>1211</v>
      </c>
      <c r="G210" s="9" t="s">
        <v>1218</v>
      </c>
      <c r="H210" s="9" t="s">
        <v>1213</v>
      </c>
      <c r="I210" s="9">
        <v>2025</v>
      </c>
      <c r="J210" s="9" t="s">
        <v>158</v>
      </c>
      <c r="K210" s="9" t="s">
        <v>1219</v>
      </c>
      <c r="L210" s="9" t="s">
        <v>1220</v>
      </c>
      <c r="M210" s="9" t="s">
        <v>182</v>
      </c>
      <c r="N210" s="9" t="s">
        <v>182</v>
      </c>
      <c r="O210" s="9" t="s">
        <v>113</v>
      </c>
      <c r="P210" s="9">
        <v>1</v>
      </c>
      <c r="Q210" s="9"/>
      <c r="R210" s="9"/>
      <c r="S210" s="9" t="s">
        <v>114</v>
      </c>
    </row>
    <row r="211" spans="1:19">
      <c r="A211" s="9" t="s">
        <v>19</v>
      </c>
      <c r="B211" s="9" t="s">
        <v>103</v>
      </c>
      <c r="C211" s="9" t="s">
        <v>22</v>
      </c>
      <c r="D211" s="9" t="s">
        <v>1221</v>
      </c>
      <c r="E211" s="9" t="s">
        <v>1222</v>
      </c>
      <c r="F211" s="9" t="s">
        <v>752</v>
      </c>
      <c r="G211" s="9" t="s">
        <v>1223</v>
      </c>
      <c r="H211" s="9" t="s">
        <v>1224</v>
      </c>
      <c r="I211" s="9">
        <v>2025</v>
      </c>
      <c r="J211" s="9" t="s">
        <v>109</v>
      </c>
      <c r="K211" s="9" t="s">
        <v>811</v>
      </c>
      <c r="L211" s="9" t="s">
        <v>1225</v>
      </c>
      <c r="M211" s="9" t="s">
        <v>182</v>
      </c>
      <c r="N211" s="9" t="s">
        <v>182</v>
      </c>
      <c r="O211" s="9" t="s">
        <v>113</v>
      </c>
      <c r="P211" s="9">
        <v>1</v>
      </c>
      <c r="Q211" s="9"/>
      <c r="R211" s="9"/>
      <c r="S211" s="9" t="s">
        <v>114</v>
      </c>
    </row>
    <row r="212" spans="1:19">
      <c r="A212" s="9" t="s">
        <v>19</v>
      </c>
      <c r="B212" s="9" t="s">
        <v>103</v>
      </c>
      <c r="C212" s="9" t="s">
        <v>22</v>
      </c>
      <c r="D212" s="9" t="s">
        <v>1226</v>
      </c>
      <c r="E212" s="9" t="s">
        <v>1227</v>
      </c>
      <c r="F212" s="9" t="s">
        <v>725</v>
      </c>
      <c r="G212" s="9" t="s">
        <v>1228</v>
      </c>
      <c r="H212" s="9" t="s">
        <v>1229</v>
      </c>
      <c r="I212" s="9">
        <v>2025</v>
      </c>
      <c r="J212" s="9" t="s">
        <v>109</v>
      </c>
      <c r="K212" s="9" t="s">
        <v>576</v>
      </c>
      <c r="L212" s="9" t="s">
        <v>1230</v>
      </c>
      <c r="M212" s="9" t="s">
        <v>182</v>
      </c>
      <c r="N212" s="9" t="s">
        <v>182</v>
      </c>
      <c r="O212" s="9" t="s">
        <v>113</v>
      </c>
      <c r="P212" s="9">
        <v>1</v>
      </c>
      <c r="Q212" s="9"/>
      <c r="R212" s="9"/>
      <c r="S212" s="9" t="s">
        <v>114</v>
      </c>
    </row>
    <row r="213" spans="1:19">
      <c r="A213" s="9" t="s">
        <v>19</v>
      </c>
      <c r="B213" s="9" t="s">
        <v>103</v>
      </c>
      <c r="C213" s="9" t="s">
        <v>22</v>
      </c>
      <c r="D213" s="9" t="s">
        <v>1231</v>
      </c>
      <c r="E213" s="9" t="s">
        <v>1232</v>
      </c>
      <c r="F213" s="9" t="s">
        <v>1233</v>
      </c>
      <c r="G213" s="9" t="s">
        <v>1234</v>
      </c>
      <c r="H213" s="9" t="s">
        <v>1235</v>
      </c>
      <c r="I213" s="9">
        <v>2025</v>
      </c>
      <c r="J213" s="9" t="s">
        <v>158</v>
      </c>
      <c r="K213" s="9" t="s">
        <v>1236</v>
      </c>
      <c r="L213" s="9" t="s">
        <v>1237</v>
      </c>
      <c r="M213" s="9" t="s">
        <v>182</v>
      </c>
      <c r="N213" s="9" t="s">
        <v>182</v>
      </c>
      <c r="O213" s="9" t="s">
        <v>113</v>
      </c>
      <c r="P213" s="9">
        <v>1</v>
      </c>
      <c r="Q213" s="9"/>
      <c r="R213" s="9"/>
      <c r="S213" s="9" t="s">
        <v>114</v>
      </c>
    </row>
    <row r="214" spans="1:19">
      <c r="A214" s="9" t="s">
        <v>19</v>
      </c>
      <c r="B214" s="9" t="s">
        <v>103</v>
      </c>
      <c r="C214" s="9" t="s">
        <v>22</v>
      </c>
      <c r="D214" s="9" t="s">
        <v>1238</v>
      </c>
      <c r="E214" s="9" t="s">
        <v>1239</v>
      </c>
      <c r="F214" s="9" t="s">
        <v>963</v>
      </c>
      <c r="G214" s="9" t="s">
        <v>1240</v>
      </c>
      <c r="H214" s="9" t="s">
        <v>1241</v>
      </c>
      <c r="I214" s="9">
        <v>2025</v>
      </c>
      <c r="J214" s="9" t="s">
        <v>351</v>
      </c>
      <c r="K214" s="9" t="s">
        <v>613</v>
      </c>
      <c r="L214" s="9" t="s">
        <v>966</v>
      </c>
      <c r="M214" s="9" t="s">
        <v>895</v>
      </c>
      <c r="N214" s="9" t="s">
        <v>895</v>
      </c>
      <c r="O214" s="9" t="s">
        <v>113</v>
      </c>
      <c r="P214" s="9">
        <v>1</v>
      </c>
      <c r="Q214" s="9"/>
      <c r="R214" s="9"/>
      <c r="S214" s="9" t="s">
        <v>114</v>
      </c>
    </row>
    <row r="215" spans="1:19">
      <c r="A215" s="9" t="s">
        <v>19</v>
      </c>
      <c r="B215" s="9" t="s">
        <v>103</v>
      </c>
      <c r="C215" s="9" t="s">
        <v>22</v>
      </c>
      <c r="D215" s="9" t="s">
        <v>1242</v>
      </c>
      <c r="E215" s="9" t="s">
        <v>1243</v>
      </c>
      <c r="F215" s="9" t="s">
        <v>1244</v>
      </c>
      <c r="G215" s="9" t="s">
        <v>1245</v>
      </c>
      <c r="H215" s="9" t="s">
        <v>1246</v>
      </c>
      <c r="I215" s="9">
        <v>2025</v>
      </c>
      <c r="J215" s="9" t="s">
        <v>158</v>
      </c>
      <c r="K215" s="9" t="s">
        <v>1247</v>
      </c>
      <c r="L215" s="9" t="s">
        <v>1248</v>
      </c>
      <c r="M215" s="9" t="s">
        <v>182</v>
      </c>
      <c r="N215" s="9" t="s">
        <v>182</v>
      </c>
      <c r="O215" s="9" t="s">
        <v>113</v>
      </c>
      <c r="P215" s="9">
        <v>1</v>
      </c>
      <c r="Q215" s="9"/>
      <c r="R215" s="9"/>
      <c r="S215" s="9" t="s">
        <v>114</v>
      </c>
    </row>
    <row r="216" spans="1:19">
      <c r="A216" s="9" t="s">
        <v>19</v>
      </c>
      <c r="B216" s="9" t="s">
        <v>103</v>
      </c>
      <c r="C216" s="9" t="s">
        <v>22</v>
      </c>
      <c r="D216" s="9" t="s">
        <v>1249</v>
      </c>
      <c r="E216" s="9" t="s">
        <v>1250</v>
      </c>
      <c r="F216" s="9" t="s">
        <v>1251</v>
      </c>
      <c r="G216" s="9" t="s">
        <v>1252</v>
      </c>
      <c r="H216" s="9" t="s">
        <v>1246</v>
      </c>
      <c r="I216" s="9">
        <v>2025</v>
      </c>
      <c r="J216" s="9" t="s">
        <v>158</v>
      </c>
      <c r="K216" s="9" t="s">
        <v>1253</v>
      </c>
      <c r="L216" s="9" t="s">
        <v>1254</v>
      </c>
      <c r="M216" s="9" t="s">
        <v>182</v>
      </c>
      <c r="N216" s="9" t="s">
        <v>182</v>
      </c>
      <c r="O216" s="9" t="s">
        <v>113</v>
      </c>
      <c r="P216" s="9">
        <v>1</v>
      </c>
      <c r="Q216" s="9"/>
      <c r="R216" s="9"/>
      <c r="S216" s="9" t="s">
        <v>114</v>
      </c>
    </row>
    <row r="217" spans="1:19">
      <c r="A217" s="9" t="s">
        <v>19</v>
      </c>
      <c r="B217" s="9" t="s">
        <v>103</v>
      </c>
      <c r="C217" s="9" t="s">
        <v>22</v>
      </c>
      <c r="D217" s="9" t="s">
        <v>1255</v>
      </c>
      <c r="E217" s="9" t="s">
        <v>1256</v>
      </c>
      <c r="F217" s="9" t="s">
        <v>1257</v>
      </c>
      <c r="G217" s="9" t="s">
        <v>1258</v>
      </c>
      <c r="H217" s="9" t="s">
        <v>1259</v>
      </c>
      <c r="I217" s="9">
        <v>2026</v>
      </c>
      <c r="J217" s="9" t="s">
        <v>158</v>
      </c>
      <c r="K217" s="9" t="s">
        <v>1260</v>
      </c>
      <c r="L217" s="9" t="s">
        <v>1261</v>
      </c>
      <c r="M217" s="9" t="s">
        <v>182</v>
      </c>
      <c r="N217" s="9" t="s">
        <v>182</v>
      </c>
      <c r="O217" s="9" t="s">
        <v>113</v>
      </c>
      <c r="P217" s="9">
        <v>1</v>
      </c>
      <c r="Q217" s="9"/>
      <c r="R217" s="9"/>
      <c r="S217" s="9" t="s">
        <v>114</v>
      </c>
    </row>
    <row r="218" spans="1:19">
      <c r="A218" s="9" t="s">
        <v>19</v>
      </c>
      <c r="B218" s="9" t="s">
        <v>103</v>
      </c>
      <c r="C218" s="9" t="s">
        <v>22</v>
      </c>
      <c r="D218" s="9" t="s">
        <v>1262</v>
      </c>
      <c r="E218" s="9" t="s">
        <v>1263</v>
      </c>
      <c r="F218" s="9" t="s">
        <v>1257</v>
      </c>
      <c r="G218" s="9" t="s">
        <v>1264</v>
      </c>
      <c r="H218" s="9" t="s">
        <v>1259</v>
      </c>
      <c r="I218" s="9">
        <v>2026</v>
      </c>
      <c r="J218" s="9" t="s">
        <v>158</v>
      </c>
      <c r="K218" s="9" t="s">
        <v>1265</v>
      </c>
      <c r="L218" s="9" t="s">
        <v>1266</v>
      </c>
      <c r="M218" s="9" t="s">
        <v>182</v>
      </c>
      <c r="N218" s="9" t="s">
        <v>182</v>
      </c>
      <c r="O218" s="9" t="s">
        <v>113</v>
      </c>
      <c r="P218" s="9">
        <v>1</v>
      </c>
      <c r="Q218" s="9"/>
      <c r="R218" s="9"/>
      <c r="S218" s="9" t="s">
        <v>114</v>
      </c>
    </row>
    <row r="219" spans="1:19">
      <c r="A219" s="9" t="s">
        <v>19</v>
      </c>
      <c r="B219" s="9" t="s">
        <v>103</v>
      </c>
      <c r="C219" s="9" t="s">
        <v>22</v>
      </c>
      <c r="D219" s="9" t="s">
        <v>1267</v>
      </c>
      <c r="E219" s="9" t="s">
        <v>1268</v>
      </c>
      <c r="F219" s="9" t="s">
        <v>1257</v>
      </c>
      <c r="G219" s="9" t="s">
        <v>1269</v>
      </c>
      <c r="H219" s="9" t="s">
        <v>1259</v>
      </c>
      <c r="I219" s="9">
        <v>2026</v>
      </c>
      <c r="J219" s="9" t="s">
        <v>158</v>
      </c>
      <c r="K219" s="9" t="s">
        <v>1270</v>
      </c>
      <c r="L219" s="9" t="s">
        <v>1271</v>
      </c>
      <c r="M219" s="9" t="s">
        <v>182</v>
      </c>
      <c r="N219" s="9" t="s">
        <v>182</v>
      </c>
      <c r="O219" s="9" t="s">
        <v>113</v>
      </c>
      <c r="P219" s="9">
        <v>1</v>
      </c>
      <c r="Q219" s="9"/>
      <c r="R219" s="9"/>
      <c r="S219" s="9" t="s">
        <v>114</v>
      </c>
    </row>
    <row r="220" spans="1:19">
      <c r="A220" s="9" t="s">
        <v>19</v>
      </c>
      <c r="B220" s="9" t="s">
        <v>103</v>
      </c>
      <c r="C220" s="9" t="s">
        <v>22</v>
      </c>
      <c r="D220" s="9" t="s">
        <v>1272</v>
      </c>
      <c r="E220" s="9" t="s">
        <v>1273</v>
      </c>
      <c r="F220" s="9" t="s">
        <v>1257</v>
      </c>
      <c r="G220" s="9" t="s">
        <v>1274</v>
      </c>
      <c r="H220" s="9" t="s">
        <v>1259</v>
      </c>
      <c r="I220" s="9">
        <v>2026</v>
      </c>
      <c r="J220" s="9" t="s">
        <v>158</v>
      </c>
      <c r="K220" s="9" t="s">
        <v>1275</v>
      </c>
      <c r="L220" s="9" t="s">
        <v>1276</v>
      </c>
      <c r="M220" s="9" t="s">
        <v>182</v>
      </c>
      <c r="N220" s="9" t="s">
        <v>182</v>
      </c>
      <c r="O220" s="9" t="s">
        <v>113</v>
      </c>
      <c r="P220" s="9">
        <v>1</v>
      </c>
      <c r="Q220" s="9"/>
      <c r="R220" s="9"/>
      <c r="S220" s="9" t="s">
        <v>114</v>
      </c>
    </row>
    <row r="221" spans="1:19">
      <c r="A221" s="9" t="s">
        <v>19</v>
      </c>
      <c r="B221" s="9" t="s">
        <v>103</v>
      </c>
      <c r="C221" s="9" t="s">
        <v>22</v>
      </c>
      <c r="D221" s="9" t="s">
        <v>1277</v>
      </c>
      <c r="E221" s="9" t="s">
        <v>1278</v>
      </c>
      <c r="F221" s="9" t="s">
        <v>1257</v>
      </c>
      <c r="G221" s="9" t="s">
        <v>1279</v>
      </c>
      <c r="H221" s="9" t="s">
        <v>1259</v>
      </c>
      <c r="I221" s="9">
        <v>2026</v>
      </c>
      <c r="J221" s="9" t="s">
        <v>158</v>
      </c>
      <c r="K221" s="9" t="s">
        <v>1280</v>
      </c>
      <c r="L221" s="9" t="s">
        <v>1281</v>
      </c>
      <c r="M221" s="9" t="s">
        <v>182</v>
      </c>
      <c r="N221" s="9" t="s">
        <v>182</v>
      </c>
      <c r="O221" s="9" t="s">
        <v>113</v>
      </c>
      <c r="P221" s="9">
        <v>1</v>
      </c>
      <c r="Q221" s="9"/>
      <c r="R221" s="9"/>
      <c r="S221" s="9" t="s">
        <v>114</v>
      </c>
    </row>
    <row r="222" spans="1:19">
      <c r="A222" s="9" t="s">
        <v>19</v>
      </c>
      <c r="B222" s="9" t="s">
        <v>103</v>
      </c>
      <c r="C222" s="9" t="s">
        <v>22</v>
      </c>
      <c r="D222" s="9" t="s">
        <v>1282</v>
      </c>
      <c r="E222" s="9" t="s">
        <v>1283</v>
      </c>
      <c r="F222" s="9" t="s">
        <v>1257</v>
      </c>
      <c r="G222" s="9" t="s">
        <v>1284</v>
      </c>
      <c r="H222" s="9" t="s">
        <v>1259</v>
      </c>
      <c r="I222" s="9">
        <v>2026</v>
      </c>
      <c r="J222" s="9" t="s">
        <v>158</v>
      </c>
      <c r="K222" s="9" t="s">
        <v>1285</v>
      </c>
      <c r="L222" s="9" t="s">
        <v>1286</v>
      </c>
      <c r="M222" s="9" t="s">
        <v>182</v>
      </c>
      <c r="N222" s="9" t="s">
        <v>182</v>
      </c>
      <c r="O222" s="9" t="s">
        <v>113</v>
      </c>
      <c r="P222" s="9">
        <v>1</v>
      </c>
      <c r="Q222" s="9"/>
      <c r="R222" s="9"/>
      <c r="S222" s="9" t="s">
        <v>114</v>
      </c>
    </row>
    <row r="223" spans="1:19">
      <c r="A223" s="9" t="s">
        <v>19</v>
      </c>
      <c r="B223" s="9" t="s">
        <v>103</v>
      </c>
      <c r="C223" s="9" t="s">
        <v>22</v>
      </c>
      <c r="D223" s="9" t="s">
        <v>1287</v>
      </c>
      <c r="E223" s="9" t="s">
        <v>1288</v>
      </c>
      <c r="F223" s="9" t="s">
        <v>1257</v>
      </c>
      <c r="G223" s="9" t="s">
        <v>1289</v>
      </c>
      <c r="H223" s="9" t="s">
        <v>1259</v>
      </c>
      <c r="I223" s="9">
        <v>2026</v>
      </c>
      <c r="J223" s="9" t="s">
        <v>158</v>
      </c>
      <c r="K223" s="9" t="s">
        <v>1290</v>
      </c>
      <c r="L223" s="9" t="s">
        <v>1291</v>
      </c>
      <c r="M223" s="9" t="s">
        <v>182</v>
      </c>
      <c r="N223" s="9" t="s">
        <v>182</v>
      </c>
      <c r="O223" s="9" t="s">
        <v>113</v>
      </c>
      <c r="P223" s="9">
        <v>1</v>
      </c>
      <c r="Q223" s="9"/>
      <c r="R223" s="9"/>
      <c r="S223" s="9" t="s">
        <v>114</v>
      </c>
    </row>
    <row r="224" spans="1:19">
      <c r="A224" s="9" t="s">
        <v>19</v>
      </c>
      <c r="B224" s="9" t="s">
        <v>103</v>
      </c>
      <c r="C224" s="9" t="s">
        <v>22</v>
      </c>
      <c r="D224" s="9" t="s">
        <v>1292</v>
      </c>
      <c r="E224" s="9" t="s">
        <v>1293</v>
      </c>
      <c r="F224" s="9" t="s">
        <v>1257</v>
      </c>
      <c r="G224" s="9" t="s">
        <v>1294</v>
      </c>
      <c r="H224" s="9" t="s">
        <v>1259</v>
      </c>
      <c r="I224" s="9">
        <v>2026</v>
      </c>
      <c r="J224" s="9" t="s">
        <v>158</v>
      </c>
      <c r="K224" s="9" t="s">
        <v>1295</v>
      </c>
      <c r="L224" s="9" t="s">
        <v>1296</v>
      </c>
      <c r="M224" s="9" t="s">
        <v>182</v>
      </c>
      <c r="N224" s="9" t="s">
        <v>182</v>
      </c>
      <c r="O224" s="9" t="s">
        <v>113</v>
      </c>
      <c r="P224" s="9">
        <v>1</v>
      </c>
      <c r="Q224" s="9"/>
      <c r="R224" s="9"/>
      <c r="S224" s="9" t="s">
        <v>114</v>
      </c>
    </row>
    <row r="225" spans="1:19">
      <c r="A225" s="9" t="s">
        <v>19</v>
      </c>
      <c r="B225" s="9" t="s">
        <v>103</v>
      </c>
      <c r="C225" s="9" t="s">
        <v>22</v>
      </c>
      <c r="D225" s="9" t="s">
        <v>1297</v>
      </c>
      <c r="E225" s="9" t="s">
        <v>1298</v>
      </c>
      <c r="F225" s="9" t="s">
        <v>1257</v>
      </c>
      <c r="G225" s="9" t="s">
        <v>1299</v>
      </c>
      <c r="H225" s="9" t="s">
        <v>1259</v>
      </c>
      <c r="I225" s="9">
        <v>2026</v>
      </c>
      <c r="J225" s="9" t="s">
        <v>158</v>
      </c>
      <c r="K225" s="9" t="s">
        <v>1300</v>
      </c>
      <c r="L225" s="9" t="s">
        <v>1301</v>
      </c>
      <c r="M225" s="9" t="s">
        <v>182</v>
      </c>
      <c r="N225" s="9" t="s">
        <v>182</v>
      </c>
      <c r="O225" s="9" t="s">
        <v>113</v>
      </c>
      <c r="P225" s="9">
        <v>1</v>
      </c>
      <c r="Q225" s="9"/>
      <c r="R225" s="9"/>
      <c r="S225" s="9" t="s">
        <v>114</v>
      </c>
    </row>
    <row r="226" spans="1:19">
      <c r="A226" s="9" t="s">
        <v>19</v>
      </c>
      <c r="B226" s="9" t="s">
        <v>103</v>
      </c>
      <c r="C226" s="9" t="s">
        <v>22</v>
      </c>
      <c r="D226" s="9" t="s">
        <v>1302</v>
      </c>
      <c r="E226" s="9" t="s">
        <v>1303</v>
      </c>
      <c r="F226" s="9" t="s">
        <v>1257</v>
      </c>
      <c r="G226" s="9" t="s">
        <v>1304</v>
      </c>
      <c r="H226" s="9" t="s">
        <v>1259</v>
      </c>
      <c r="I226" s="9">
        <v>2026</v>
      </c>
      <c r="J226" s="9" t="s">
        <v>158</v>
      </c>
      <c r="K226" s="9" t="s">
        <v>1305</v>
      </c>
      <c r="L226" s="9" t="s">
        <v>1306</v>
      </c>
      <c r="M226" s="9" t="s">
        <v>182</v>
      </c>
      <c r="N226" s="9" t="s">
        <v>182</v>
      </c>
      <c r="O226" s="9" t="s">
        <v>113</v>
      </c>
      <c r="P226" s="9">
        <v>1</v>
      </c>
      <c r="Q226" s="9"/>
      <c r="R226" s="9"/>
      <c r="S226" s="9" t="s">
        <v>114</v>
      </c>
    </row>
    <row r="227" spans="1:19">
      <c r="A227" s="9" t="s">
        <v>19</v>
      </c>
      <c r="B227" s="9" t="s">
        <v>103</v>
      </c>
      <c r="C227" s="9" t="s">
        <v>22</v>
      </c>
      <c r="D227" s="9" t="s">
        <v>1307</v>
      </c>
      <c r="E227" s="9" t="s">
        <v>1308</v>
      </c>
      <c r="F227" s="9" t="s">
        <v>1257</v>
      </c>
      <c r="G227" s="9" t="s">
        <v>1309</v>
      </c>
      <c r="H227" s="9" t="s">
        <v>1259</v>
      </c>
      <c r="I227" s="9">
        <v>2026</v>
      </c>
      <c r="J227" s="9" t="s">
        <v>158</v>
      </c>
      <c r="K227" s="9" t="s">
        <v>1310</v>
      </c>
      <c r="L227" s="9" t="s">
        <v>1311</v>
      </c>
      <c r="M227" s="9" t="s">
        <v>182</v>
      </c>
      <c r="N227" s="9" t="s">
        <v>182</v>
      </c>
      <c r="O227" s="9" t="s">
        <v>113</v>
      </c>
      <c r="P227" s="9">
        <v>1</v>
      </c>
      <c r="Q227" s="9"/>
      <c r="R227" s="9"/>
      <c r="S227" s="9" t="s">
        <v>114</v>
      </c>
    </row>
    <row r="228" spans="1:19">
      <c r="A228" s="9" t="s">
        <v>19</v>
      </c>
      <c r="B228" s="9" t="s">
        <v>103</v>
      </c>
      <c r="C228" s="9" t="s">
        <v>22</v>
      </c>
      <c r="D228" s="9" t="s">
        <v>1312</v>
      </c>
      <c r="E228" s="9" t="s">
        <v>1313</v>
      </c>
      <c r="F228" s="9" t="s">
        <v>1257</v>
      </c>
      <c r="G228" s="9" t="s">
        <v>1314</v>
      </c>
      <c r="H228" s="9" t="s">
        <v>1259</v>
      </c>
      <c r="I228" s="9">
        <v>2026</v>
      </c>
      <c r="J228" s="9" t="s">
        <v>158</v>
      </c>
      <c r="K228" s="9" t="s">
        <v>1315</v>
      </c>
      <c r="L228" s="9" t="s">
        <v>1316</v>
      </c>
      <c r="M228" s="9" t="s">
        <v>182</v>
      </c>
      <c r="N228" s="9" t="s">
        <v>182</v>
      </c>
      <c r="O228" s="9" t="s">
        <v>113</v>
      </c>
      <c r="P228" s="9">
        <v>1</v>
      </c>
      <c r="Q228" s="9"/>
      <c r="R228" s="9"/>
      <c r="S228" s="9" t="s">
        <v>114</v>
      </c>
    </row>
    <row r="229" spans="1:19">
      <c r="A229" s="9" t="s">
        <v>19</v>
      </c>
      <c r="B229" s="9" t="s">
        <v>103</v>
      </c>
      <c r="C229" s="9" t="s">
        <v>22</v>
      </c>
      <c r="D229" s="9" t="s">
        <v>1317</v>
      </c>
      <c r="E229" s="9" t="s">
        <v>1318</v>
      </c>
      <c r="F229" s="9" t="s">
        <v>1257</v>
      </c>
      <c r="G229" s="9" t="s">
        <v>1319</v>
      </c>
      <c r="H229" s="9" t="s">
        <v>1259</v>
      </c>
      <c r="I229" s="9">
        <v>2026</v>
      </c>
      <c r="J229" s="9" t="s">
        <v>158</v>
      </c>
      <c r="K229" s="9" t="s">
        <v>1320</v>
      </c>
      <c r="L229" s="9" t="s">
        <v>1321</v>
      </c>
      <c r="M229" s="9" t="s">
        <v>182</v>
      </c>
      <c r="N229" s="9" t="s">
        <v>182</v>
      </c>
      <c r="O229" s="9" t="s">
        <v>113</v>
      </c>
      <c r="P229" s="9">
        <v>1</v>
      </c>
      <c r="Q229" s="9"/>
      <c r="R229" s="9"/>
      <c r="S229" s="9" t="s">
        <v>114</v>
      </c>
    </row>
    <row r="230" spans="1:19">
      <c r="A230" s="9" t="s">
        <v>19</v>
      </c>
      <c r="B230" s="9" t="s">
        <v>103</v>
      </c>
      <c r="C230" s="9" t="s">
        <v>22</v>
      </c>
      <c r="D230" s="9" t="s">
        <v>1322</v>
      </c>
      <c r="E230" s="9" t="s">
        <v>1323</v>
      </c>
      <c r="F230" s="9" t="s">
        <v>1257</v>
      </c>
      <c r="G230" s="9" t="s">
        <v>1324</v>
      </c>
      <c r="H230" s="9" t="s">
        <v>1259</v>
      </c>
      <c r="I230" s="9">
        <v>2026</v>
      </c>
      <c r="J230" s="9" t="s">
        <v>158</v>
      </c>
      <c r="K230" s="9" t="s">
        <v>1325</v>
      </c>
      <c r="L230" s="9" t="s">
        <v>1326</v>
      </c>
      <c r="M230" s="9" t="s">
        <v>182</v>
      </c>
      <c r="N230" s="9" t="s">
        <v>182</v>
      </c>
      <c r="O230" s="9" t="s">
        <v>113</v>
      </c>
      <c r="P230" s="9">
        <v>1</v>
      </c>
      <c r="Q230" s="9"/>
      <c r="R230" s="9"/>
      <c r="S230" s="9" t="s">
        <v>114</v>
      </c>
    </row>
    <row r="231" spans="1:19">
      <c r="A231" s="9" t="s">
        <v>19</v>
      </c>
      <c r="B231" s="9" t="s">
        <v>103</v>
      </c>
      <c r="C231" s="9" t="s">
        <v>22</v>
      </c>
      <c r="D231" s="9" t="s">
        <v>1327</v>
      </c>
      <c r="E231" s="9" t="s">
        <v>1328</v>
      </c>
      <c r="F231" s="9" t="s">
        <v>1257</v>
      </c>
      <c r="G231" s="9" t="s">
        <v>1329</v>
      </c>
      <c r="H231" s="9" t="s">
        <v>1259</v>
      </c>
      <c r="I231" s="9">
        <v>2026</v>
      </c>
      <c r="J231" s="9" t="s">
        <v>158</v>
      </c>
      <c r="K231" s="9" t="s">
        <v>1330</v>
      </c>
      <c r="L231" s="9" t="s">
        <v>1331</v>
      </c>
      <c r="M231" s="9" t="s">
        <v>182</v>
      </c>
      <c r="N231" s="9" t="s">
        <v>182</v>
      </c>
      <c r="O231" s="9" t="s">
        <v>113</v>
      </c>
      <c r="P231" s="9">
        <v>1</v>
      </c>
      <c r="Q231" s="9"/>
      <c r="R231" s="9"/>
      <c r="S231" s="9" t="s">
        <v>114</v>
      </c>
    </row>
    <row r="232" spans="1:19">
      <c r="A232" s="9" t="s">
        <v>19</v>
      </c>
      <c r="B232" s="9" t="s">
        <v>103</v>
      </c>
      <c r="C232" s="9" t="s">
        <v>22</v>
      </c>
      <c r="D232" s="9" t="s">
        <v>1332</v>
      </c>
      <c r="E232" s="9" t="s">
        <v>1333</v>
      </c>
      <c r="F232" s="9" t="s">
        <v>1257</v>
      </c>
      <c r="G232" s="9" t="s">
        <v>1334</v>
      </c>
      <c r="H232" s="9" t="s">
        <v>1259</v>
      </c>
      <c r="I232" s="9">
        <v>2026</v>
      </c>
      <c r="J232" s="9" t="s">
        <v>158</v>
      </c>
      <c r="K232" s="9" t="s">
        <v>1335</v>
      </c>
      <c r="L232" s="9" t="s">
        <v>1336</v>
      </c>
      <c r="M232" s="9" t="s">
        <v>182</v>
      </c>
      <c r="N232" s="9" t="s">
        <v>182</v>
      </c>
      <c r="O232" s="9" t="s">
        <v>113</v>
      </c>
      <c r="P232" s="9">
        <v>1</v>
      </c>
      <c r="Q232" s="9"/>
      <c r="R232" s="9"/>
      <c r="S232" s="9" t="s">
        <v>114</v>
      </c>
    </row>
    <row r="233" spans="1:19">
      <c r="A233" s="9" t="s">
        <v>19</v>
      </c>
      <c r="B233" s="9" t="s">
        <v>103</v>
      </c>
      <c r="C233" s="9" t="s">
        <v>22</v>
      </c>
      <c r="D233" s="9" t="s">
        <v>1337</v>
      </c>
      <c r="E233" s="9" t="s">
        <v>1338</v>
      </c>
      <c r="F233" s="9" t="s">
        <v>1257</v>
      </c>
      <c r="G233" s="9" t="s">
        <v>1339</v>
      </c>
      <c r="H233" s="9" t="s">
        <v>1259</v>
      </c>
      <c r="I233" s="9">
        <v>2026</v>
      </c>
      <c r="J233" s="9" t="s">
        <v>158</v>
      </c>
      <c r="K233" s="9" t="s">
        <v>1340</v>
      </c>
      <c r="L233" s="9" t="s">
        <v>1341</v>
      </c>
      <c r="M233" s="9" t="s">
        <v>182</v>
      </c>
      <c r="N233" s="9" t="s">
        <v>182</v>
      </c>
      <c r="O233" s="9" t="s">
        <v>113</v>
      </c>
      <c r="P233" s="9">
        <v>1</v>
      </c>
      <c r="Q233" s="9"/>
      <c r="R233" s="9"/>
      <c r="S233" s="9" t="s">
        <v>114</v>
      </c>
    </row>
    <row r="234" spans="1:19">
      <c r="A234" s="9" t="s">
        <v>19</v>
      </c>
      <c r="B234" s="9" t="s">
        <v>103</v>
      </c>
      <c r="C234" s="9" t="s">
        <v>22</v>
      </c>
      <c r="D234" s="9" t="s">
        <v>1342</v>
      </c>
      <c r="E234" s="9" t="s">
        <v>1343</v>
      </c>
      <c r="F234" s="9" t="s">
        <v>1257</v>
      </c>
      <c r="G234" s="9" t="s">
        <v>1344</v>
      </c>
      <c r="H234" s="9" t="s">
        <v>1259</v>
      </c>
      <c r="I234" s="9">
        <v>2026</v>
      </c>
      <c r="J234" s="9" t="s">
        <v>158</v>
      </c>
      <c r="K234" s="9" t="s">
        <v>1345</v>
      </c>
      <c r="L234" s="9" t="s">
        <v>1346</v>
      </c>
      <c r="M234" s="9" t="s">
        <v>182</v>
      </c>
      <c r="N234" s="9" t="s">
        <v>182</v>
      </c>
      <c r="O234" s="9" t="s">
        <v>113</v>
      </c>
      <c r="P234" s="9">
        <v>1</v>
      </c>
      <c r="Q234" s="9"/>
      <c r="R234" s="9"/>
      <c r="S234" s="9" t="s">
        <v>114</v>
      </c>
    </row>
    <row r="235" spans="1:19">
      <c r="A235" s="9" t="s">
        <v>19</v>
      </c>
      <c r="B235" s="9" t="s">
        <v>103</v>
      </c>
      <c r="C235" s="9" t="s">
        <v>22</v>
      </c>
      <c r="D235" s="9" t="s">
        <v>1347</v>
      </c>
      <c r="E235" s="9" t="s">
        <v>1348</v>
      </c>
      <c r="F235" s="9" t="s">
        <v>1349</v>
      </c>
      <c r="G235" s="9" t="s">
        <v>1350</v>
      </c>
      <c r="H235" s="9" t="s">
        <v>1351</v>
      </c>
      <c r="I235" s="9">
        <v>2026</v>
      </c>
      <c r="J235" s="9" t="s">
        <v>158</v>
      </c>
      <c r="K235" s="9" t="s">
        <v>1352</v>
      </c>
      <c r="L235" s="9" t="s">
        <v>1353</v>
      </c>
      <c r="M235" s="9" t="s">
        <v>182</v>
      </c>
      <c r="N235" s="9" t="s">
        <v>182</v>
      </c>
      <c r="O235" s="9" t="s">
        <v>113</v>
      </c>
      <c r="P235" s="9">
        <v>1</v>
      </c>
      <c r="Q235" s="9"/>
      <c r="R235" s="9"/>
      <c r="S235" s="9" t="s">
        <v>114</v>
      </c>
    </row>
    <row r="236" spans="1:19">
      <c r="A236" s="9" t="s">
        <v>19</v>
      </c>
      <c r="B236" s="9" t="s">
        <v>103</v>
      </c>
      <c r="C236" s="9" t="s">
        <v>22</v>
      </c>
      <c r="D236" s="9" t="s">
        <v>1354</v>
      </c>
      <c r="E236" s="9" t="s">
        <v>1355</v>
      </c>
      <c r="F236" s="9" t="s">
        <v>1349</v>
      </c>
      <c r="G236" s="9" t="s">
        <v>1356</v>
      </c>
      <c r="H236" s="9" t="s">
        <v>1351</v>
      </c>
      <c r="I236" s="9">
        <v>2026</v>
      </c>
      <c r="J236" s="9" t="s">
        <v>158</v>
      </c>
      <c r="K236" s="9" t="s">
        <v>1357</v>
      </c>
      <c r="L236" s="9" t="s">
        <v>1358</v>
      </c>
      <c r="M236" s="9" t="s">
        <v>182</v>
      </c>
      <c r="N236" s="9" t="s">
        <v>182</v>
      </c>
      <c r="O236" s="9" t="s">
        <v>113</v>
      </c>
      <c r="P236" s="9">
        <v>1</v>
      </c>
      <c r="Q236" s="9"/>
      <c r="R236" s="9"/>
      <c r="S236" s="9" t="s">
        <v>114</v>
      </c>
    </row>
    <row r="237" spans="1:19">
      <c r="A237" s="9" t="s">
        <v>19</v>
      </c>
      <c r="B237" s="9" t="s">
        <v>103</v>
      </c>
      <c r="C237" s="9" t="s">
        <v>22</v>
      </c>
      <c r="D237" s="9" t="s">
        <v>1359</v>
      </c>
      <c r="E237" s="9" t="s">
        <v>1360</v>
      </c>
      <c r="F237" s="9" t="s">
        <v>1361</v>
      </c>
      <c r="G237" s="9" t="s">
        <v>1362</v>
      </c>
      <c r="H237" s="9" t="s">
        <v>1363</v>
      </c>
      <c r="I237" s="9">
        <v>2026</v>
      </c>
      <c r="J237" s="9" t="s">
        <v>158</v>
      </c>
      <c r="K237" s="9" t="s">
        <v>1364</v>
      </c>
      <c r="L237" s="9" t="s">
        <v>1365</v>
      </c>
      <c r="M237" s="9" t="s">
        <v>182</v>
      </c>
      <c r="N237" s="9" t="s">
        <v>182</v>
      </c>
      <c r="O237" s="9" t="s">
        <v>113</v>
      </c>
      <c r="P237" s="9">
        <v>1</v>
      </c>
      <c r="Q237" s="9"/>
      <c r="R237" s="9"/>
      <c r="S237" s="9" t="s">
        <v>114</v>
      </c>
    </row>
    <row r="238" spans="1:19">
      <c r="A238" s="9" t="s">
        <v>19</v>
      </c>
      <c r="B238" s="9" t="s">
        <v>103</v>
      </c>
      <c r="C238" s="9" t="s">
        <v>22</v>
      </c>
      <c r="D238" s="9" t="s">
        <v>1366</v>
      </c>
      <c r="E238" s="9" t="s">
        <v>1367</v>
      </c>
      <c r="F238" s="9" t="s">
        <v>1368</v>
      </c>
      <c r="G238" s="9" t="s">
        <v>1369</v>
      </c>
      <c r="H238" s="9" t="s">
        <v>1363</v>
      </c>
      <c r="I238" s="9">
        <v>2026</v>
      </c>
      <c r="J238" s="9" t="s">
        <v>158</v>
      </c>
      <c r="K238" s="9" t="s">
        <v>1370</v>
      </c>
      <c r="L238" s="9" t="s">
        <v>1371</v>
      </c>
      <c r="M238" s="9" t="s">
        <v>182</v>
      </c>
      <c r="N238" s="9" t="s">
        <v>182</v>
      </c>
      <c r="O238" s="9" t="s">
        <v>113</v>
      </c>
      <c r="P238" s="9">
        <v>1</v>
      </c>
      <c r="Q238" s="9"/>
      <c r="R238" s="9"/>
      <c r="S238" s="9" t="s">
        <v>114</v>
      </c>
    </row>
    <row r="239" spans="1:19">
      <c r="A239" s="9" t="s">
        <v>19</v>
      </c>
      <c r="B239" s="9" t="s">
        <v>103</v>
      </c>
      <c r="C239" s="9" t="s">
        <v>22</v>
      </c>
      <c r="D239" s="9" t="s">
        <v>1372</v>
      </c>
      <c r="E239" s="9" t="s">
        <v>1373</v>
      </c>
      <c r="F239" s="9" t="s">
        <v>1368</v>
      </c>
      <c r="G239" s="9" t="s">
        <v>1374</v>
      </c>
      <c r="H239" s="9" t="s">
        <v>1363</v>
      </c>
      <c r="I239" s="9">
        <v>2026</v>
      </c>
      <c r="J239" s="9" t="s">
        <v>158</v>
      </c>
      <c r="K239" s="9" t="s">
        <v>1375</v>
      </c>
      <c r="L239" s="9" t="s">
        <v>1376</v>
      </c>
      <c r="M239" s="9" t="s">
        <v>182</v>
      </c>
      <c r="N239" s="9" t="s">
        <v>182</v>
      </c>
      <c r="O239" s="9" t="s">
        <v>113</v>
      </c>
      <c r="P239" s="9">
        <v>1</v>
      </c>
      <c r="Q239" s="9"/>
      <c r="R239" s="9"/>
      <c r="S239" s="9" t="s">
        <v>114</v>
      </c>
    </row>
    <row r="240" spans="1:19">
      <c r="A240" s="9" t="s">
        <v>19</v>
      </c>
      <c r="B240" s="9" t="s">
        <v>103</v>
      </c>
      <c r="C240" s="9" t="s">
        <v>22</v>
      </c>
      <c r="D240" s="9" t="s">
        <v>1377</v>
      </c>
      <c r="E240" s="9" t="s">
        <v>1378</v>
      </c>
      <c r="F240" s="9" t="s">
        <v>1379</v>
      </c>
      <c r="G240" s="9" t="s">
        <v>1380</v>
      </c>
      <c r="H240" s="9" t="s">
        <v>1381</v>
      </c>
      <c r="I240" s="9">
        <v>2026</v>
      </c>
      <c r="J240" s="9" t="s">
        <v>158</v>
      </c>
      <c r="K240" s="9" t="s">
        <v>1382</v>
      </c>
      <c r="L240" s="9" t="s">
        <v>1383</v>
      </c>
      <c r="M240" s="9" t="s">
        <v>182</v>
      </c>
      <c r="N240" s="9" t="s">
        <v>182</v>
      </c>
      <c r="O240" s="9" t="s">
        <v>113</v>
      </c>
      <c r="P240" s="9">
        <v>1</v>
      </c>
      <c r="Q240" s="9"/>
      <c r="R240" s="9"/>
      <c r="S240" s="9" t="s">
        <v>114</v>
      </c>
    </row>
    <row r="241" spans="1:19">
      <c r="A241" s="9" t="s">
        <v>19</v>
      </c>
      <c r="B241" s="9" t="s">
        <v>103</v>
      </c>
      <c r="C241" s="9" t="s">
        <v>22</v>
      </c>
      <c r="D241" s="9" t="s">
        <v>1384</v>
      </c>
      <c r="E241" s="9" t="s">
        <v>1385</v>
      </c>
      <c r="F241" s="9" t="s">
        <v>1386</v>
      </c>
      <c r="G241" s="9" t="s">
        <v>1387</v>
      </c>
      <c r="H241" s="9" t="s">
        <v>1388</v>
      </c>
      <c r="I241" s="9">
        <v>2026</v>
      </c>
      <c r="J241" s="9" t="s">
        <v>158</v>
      </c>
      <c r="K241" s="9" t="s">
        <v>1389</v>
      </c>
      <c r="L241" s="9" t="s">
        <v>1390</v>
      </c>
      <c r="M241" s="9" t="s">
        <v>182</v>
      </c>
      <c r="N241" s="9" t="s">
        <v>182</v>
      </c>
      <c r="O241" s="9" t="s">
        <v>113</v>
      </c>
      <c r="P241" s="9">
        <v>1</v>
      </c>
      <c r="Q241" s="9"/>
      <c r="R241" s="9"/>
      <c r="S241" s="9" t="s">
        <v>114</v>
      </c>
    </row>
    <row r="242" spans="1:19">
      <c r="A242" s="9" t="s">
        <v>19</v>
      </c>
      <c r="B242" s="9" t="s">
        <v>103</v>
      </c>
      <c r="C242" s="9" t="s">
        <v>22</v>
      </c>
      <c r="D242" s="9" t="s">
        <v>1391</v>
      </c>
      <c r="E242" s="9" t="s">
        <v>1392</v>
      </c>
      <c r="F242" s="9" t="s">
        <v>1393</v>
      </c>
      <c r="G242" s="9" t="s">
        <v>1394</v>
      </c>
      <c r="H242" s="9" t="s">
        <v>1388</v>
      </c>
      <c r="I242" s="9">
        <v>2026</v>
      </c>
      <c r="J242" s="9" t="s">
        <v>158</v>
      </c>
      <c r="K242" s="9" t="s">
        <v>1395</v>
      </c>
      <c r="L242" s="9" t="s">
        <v>1396</v>
      </c>
      <c r="M242" s="9" t="s">
        <v>182</v>
      </c>
      <c r="N242" s="9" t="s">
        <v>182</v>
      </c>
      <c r="O242" s="9" t="s">
        <v>113</v>
      </c>
      <c r="P242" s="9">
        <v>1</v>
      </c>
      <c r="Q242" s="9"/>
      <c r="R242" s="9"/>
      <c r="S242" s="9" t="s">
        <v>114</v>
      </c>
    </row>
    <row r="243" spans="1:19">
      <c r="A243" s="9" t="s">
        <v>19</v>
      </c>
      <c r="B243" s="9" t="s">
        <v>103</v>
      </c>
      <c r="C243" s="9" t="s">
        <v>22</v>
      </c>
      <c r="D243" s="9" t="s">
        <v>1397</v>
      </c>
      <c r="E243" s="9" t="s">
        <v>1398</v>
      </c>
      <c r="F243" s="9" t="s">
        <v>1399</v>
      </c>
      <c r="G243" s="9" t="s">
        <v>1400</v>
      </c>
      <c r="H243" s="9" t="s">
        <v>1388</v>
      </c>
      <c r="I243" s="9">
        <v>2026</v>
      </c>
      <c r="J243" s="9" t="s">
        <v>158</v>
      </c>
      <c r="K243" s="9" t="s">
        <v>1401</v>
      </c>
      <c r="L243" s="9" t="s">
        <v>1402</v>
      </c>
      <c r="M243" s="9" t="s">
        <v>182</v>
      </c>
      <c r="N243" s="9" t="s">
        <v>182</v>
      </c>
      <c r="O243" s="9" t="s">
        <v>113</v>
      </c>
      <c r="P243" s="9">
        <v>1</v>
      </c>
      <c r="Q243" s="9"/>
      <c r="R243" s="9"/>
      <c r="S243" s="9" t="s">
        <v>114</v>
      </c>
    </row>
    <row r="244" spans="1:19">
      <c r="A244" s="9" t="s">
        <v>19</v>
      </c>
      <c r="B244" s="9" t="s">
        <v>103</v>
      </c>
      <c r="C244" s="9" t="s">
        <v>22</v>
      </c>
      <c r="D244" s="9" t="s">
        <v>1403</v>
      </c>
      <c r="E244" s="9" t="s">
        <v>1404</v>
      </c>
      <c r="F244" s="9" t="s">
        <v>1160</v>
      </c>
      <c r="G244" s="9" t="s">
        <v>1405</v>
      </c>
      <c r="H244" s="9" t="s">
        <v>1388</v>
      </c>
      <c r="I244" s="9">
        <v>2026</v>
      </c>
      <c r="J244" s="9" t="s">
        <v>158</v>
      </c>
      <c r="K244" s="9" t="s">
        <v>1406</v>
      </c>
      <c r="L244" s="9" t="s">
        <v>1407</v>
      </c>
      <c r="M244" s="9" t="s">
        <v>182</v>
      </c>
      <c r="N244" s="9" t="s">
        <v>182</v>
      </c>
      <c r="O244" s="9" t="s">
        <v>113</v>
      </c>
      <c r="P244" s="9">
        <v>1</v>
      </c>
      <c r="Q244" s="9"/>
      <c r="R244" s="9"/>
      <c r="S244" s="9" t="s">
        <v>114</v>
      </c>
    </row>
    <row r="245" spans="1:19">
      <c r="A245" s="9" t="s">
        <v>19</v>
      </c>
      <c r="B245" s="9" t="s">
        <v>103</v>
      </c>
      <c r="C245" s="9" t="s">
        <v>22</v>
      </c>
      <c r="D245" s="9" t="s">
        <v>1408</v>
      </c>
      <c r="E245" s="9" t="s">
        <v>1409</v>
      </c>
      <c r="F245" s="9" t="s">
        <v>1186</v>
      </c>
      <c r="G245" s="9" t="s">
        <v>1410</v>
      </c>
      <c r="H245" s="9" t="s">
        <v>1411</v>
      </c>
      <c r="I245" s="9">
        <v>2026</v>
      </c>
      <c r="J245" s="9" t="s">
        <v>158</v>
      </c>
      <c r="K245" s="9" t="s">
        <v>1412</v>
      </c>
      <c r="L245" s="9" t="s">
        <v>1413</v>
      </c>
      <c r="M245" s="9" t="s">
        <v>182</v>
      </c>
      <c r="N245" s="9" t="s">
        <v>182</v>
      </c>
      <c r="O245" s="9" t="s">
        <v>113</v>
      </c>
      <c r="P245" s="9">
        <v>1</v>
      </c>
      <c r="Q245" s="9"/>
      <c r="R245" s="9"/>
      <c r="S245" s="9" t="s">
        <v>114</v>
      </c>
    </row>
    <row r="246" spans="1:19">
      <c r="A246" s="9" t="s">
        <v>19</v>
      </c>
      <c r="B246" s="9" t="s">
        <v>103</v>
      </c>
      <c r="C246" s="9" t="s">
        <v>22</v>
      </c>
      <c r="D246" s="9" t="s">
        <v>1414</v>
      </c>
      <c r="E246" s="9" t="s">
        <v>1415</v>
      </c>
      <c r="F246" s="9" t="s">
        <v>1416</v>
      </c>
      <c r="G246" s="9" t="s">
        <v>1417</v>
      </c>
      <c r="H246" s="9" t="s">
        <v>1411</v>
      </c>
      <c r="I246" s="9">
        <v>2026</v>
      </c>
      <c r="J246" s="9" t="s">
        <v>158</v>
      </c>
      <c r="K246" s="9" t="s">
        <v>1418</v>
      </c>
      <c r="L246" s="9" t="s">
        <v>1413</v>
      </c>
      <c r="M246" s="9" t="s">
        <v>182</v>
      </c>
      <c r="N246" s="9" t="s">
        <v>182</v>
      </c>
      <c r="O246" s="9" t="s">
        <v>113</v>
      </c>
      <c r="P246" s="9">
        <v>1</v>
      </c>
      <c r="Q246" s="9"/>
      <c r="R246" s="9"/>
      <c r="S246" s="9" t="s">
        <v>114</v>
      </c>
    </row>
    <row r="247" spans="1:19">
      <c r="A247" s="9" t="s">
        <v>19</v>
      </c>
      <c r="B247" s="9" t="s">
        <v>103</v>
      </c>
      <c r="C247" s="9" t="s">
        <v>22</v>
      </c>
      <c r="D247" s="9" t="s">
        <v>1419</v>
      </c>
      <c r="E247" s="9" t="s">
        <v>1420</v>
      </c>
      <c r="F247" s="9" t="s">
        <v>1421</v>
      </c>
      <c r="G247" s="9" t="s">
        <v>1422</v>
      </c>
      <c r="H247" s="9" t="s">
        <v>1423</v>
      </c>
      <c r="I247" s="9">
        <v>2026</v>
      </c>
      <c r="J247" s="9" t="s">
        <v>158</v>
      </c>
      <c r="K247" s="9" t="s">
        <v>1424</v>
      </c>
      <c r="L247" s="9" t="s">
        <v>1425</v>
      </c>
      <c r="M247" s="9" t="s">
        <v>182</v>
      </c>
      <c r="N247" s="9" t="s">
        <v>182</v>
      </c>
      <c r="O247" s="9" t="s">
        <v>113</v>
      </c>
      <c r="P247" s="9">
        <v>1</v>
      </c>
      <c r="Q247" s="9"/>
      <c r="R247" s="9"/>
      <c r="S247" s="9" t="s">
        <v>114</v>
      </c>
    </row>
    <row r="248" spans="1:19">
      <c r="A248" s="9" t="s">
        <v>19</v>
      </c>
      <c r="B248" s="9" t="s">
        <v>103</v>
      </c>
      <c r="C248" s="9" t="s">
        <v>22</v>
      </c>
      <c r="D248" s="9" t="s">
        <v>1426</v>
      </c>
      <c r="E248" s="9" t="s">
        <v>1427</v>
      </c>
      <c r="F248" s="9" t="s">
        <v>1428</v>
      </c>
      <c r="G248" s="9" t="s">
        <v>1429</v>
      </c>
      <c r="H248" s="9" t="s">
        <v>1423</v>
      </c>
      <c r="I248" s="9">
        <v>2026</v>
      </c>
      <c r="J248" s="9" t="s">
        <v>158</v>
      </c>
      <c r="K248" s="9" t="s">
        <v>1430</v>
      </c>
      <c r="L248" s="9" t="s">
        <v>1431</v>
      </c>
      <c r="M248" s="9" t="s">
        <v>182</v>
      </c>
      <c r="N248" s="9" t="s">
        <v>182</v>
      </c>
      <c r="O248" s="9" t="s">
        <v>113</v>
      </c>
      <c r="P248" s="9">
        <v>1</v>
      </c>
      <c r="Q248" s="9"/>
      <c r="R248" s="9"/>
      <c r="S248" s="9" t="s">
        <v>114</v>
      </c>
    </row>
    <row r="249" spans="1:19">
      <c r="A249" s="9" t="s">
        <v>19</v>
      </c>
      <c r="B249" s="9" t="s">
        <v>103</v>
      </c>
      <c r="C249" s="9" t="s">
        <v>22</v>
      </c>
      <c r="D249" s="9" t="s">
        <v>1432</v>
      </c>
      <c r="E249" s="9" t="s">
        <v>1433</v>
      </c>
      <c r="F249" s="9" t="s">
        <v>1434</v>
      </c>
      <c r="G249" s="9" t="s">
        <v>1435</v>
      </c>
      <c r="H249" s="9" t="s">
        <v>1436</v>
      </c>
      <c r="I249" s="9">
        <v>2026</v>
      </c>
      <c r="J249" s="9" t="s">
        <v>158</v>
      </c>
      <c r="K249" s="9" t="s">
        <v>1437</v>
      </c>
      <c r="L249" s="9" t="s">
        <v>1438</v>
      </c>
      <c r="M249" s="9" t="s">
        <v>182</v>
      </c>
      <c r="N249" s="9" t="s">
        <v>182</v>
      </c>
      <c r="O249" s="9" t="s">
        <v>113</v>
      </c>
      <c r="P249" s="9">
        <v>1</v>
      </c>
      <c r="Q249" s="9"/>
      <c r="R249" s="9"/>
      <c r="S249" s="9" t="s">
        <v>114</v>
      </c>
    </row>
    <row r="250" spans="1:19">
      <c r="A250" s="9" t="s">
        <v>19</v>
      </c>
      <c r="B250" s="9" t="s">
        <v>103</v>
      </c>
      <c r="C250" s="9" t="s">
        <v>22</v>
      </c>
      <c r="D250" s="9" t="s">
        <v>1439</v>
      </c>
      <c r="E250" s="9" t="s">
        <v>1440</v>
      </c>
      <c r="F250" s="9" t="s">
        <v>1009</v>
      </c>
      <c r="G250" s="9" t="s">
        <v>1441</v>
      </c>
      <c r="H250" s="9" t="s">
        <v>1442</v>
      </c>
      <c r="I250" s="9">
        <v>2026</v>
      </c>
      <c r="J250" s="9" t="s">
        <v>351</v>
      </c>
      <c r="K250" s="9" t="s">
        <v>1011</v>
      </c>
      <c r="L250" s="9" t="s">
        <v>1443</v>
      </c>
      <c r="M250" s="9" t="s">
        <v>895</v>
      </c>
      <c r="N250" s="9" t="s">
        <v>895</v>
      </c>
      <c r="O250" s="9" t="s">
        <v>113</v>
      </c>
      <c r="P250" s="9">
        <v>1</v>
      </c>
      <c r="Q250" s="9"/>
      <c r="R250" s="9"/>
      <c r="S250" s="9" t="s">
        <v>114</v>
      </c>
    </row>
    <row r="251" spans="1:19">
      <c r="A251" s="9" t="s">
        <v>19</v>
      </c>
      <c r="B251" s="9" t="s">
        <v>103</v>
      </c>
      <c r="C251" s="9" t="s">
        <v>22</v>
      </c>
      <c r="D251" s="9" t="s">
        <v>1444</v>
      </c>
      <c r="E251" s="9" t="s">
        <v>1445</v>
      </c>
      <c r="F251" s="9" t="s">
        <v>845</v>
      </c>
      <c r="G251" s="9" t="s">
        <v>1446</v>
      </c>
      <c r="H251" s="9" t="s">
        <v>1447</v>
      </c>
      <c r="I251" s="9">
        <v>2026</v>
      </c>
      <c r="J251" s="9" t="s">
        <v>351</v>
      </c>
      <c r="K251" s="9" t="s">
        <v>1005</v>
      </c>
      <c r="L251" s="9" t="s">
        <v>1448</v>
      </c>
      <c r="M251" s="9" t="s">
        <v>895</v>
      </c>
      <c r="N251" s="9" t="s">
        <v>895</v>
      </c>
      <c r="O251" s="9" t="s">
        <v>113</v>
      </c>
      <c r="P251" s="9">
        <v>1</v>
      </c>
      <c r="Q251" s="9"/>
      <c r="R251" s="9"/>
      <c r="S251" s="9" t="s">
        <v>114</v>
      </c>
    </row>
    <row r="252" spans="1:19">
      <c r="A252" s="9" t="s">
        <v>19</v>
      </c>
      <c r="B252" s="9" t="s">
        <v>103</v>
      </c>
      <c r="C252" s="9" t="s">
        <v>22</v>
      </c>
      <c r="D252" s="9" t="s">
        <v>1449</v>
      </c>
      <c r="E252" s="9" t="s">
        <v>1450</v>
      </c>
      <c r="F252" s="9" t="s">
        <v>1015</v>
      </c>
      <c r="G252" s="9" t="s">
        <v>1451</v>
      </c>
      <c r="H252" s="9" t="s">
        <v>1447</v>
      </c>
      <c r="I252" s="9">
        <v>2026</v>
      </c>
      <c r="J252" s="9" t="s">
        <v>351</v>
      </c>
      <c r="K252" s="9" t="s">
        <v>800</v>
      </c>
      <c r="L252" s="9" t="s">
        <v>1452</v>
      </c>
      <c r="M252" s="9" t="s">
        <v>895</v>
      </c>
      <c r="N252" s="9" t="s">
        <v>895</v>
      </c>
      <c r="O252" s="9" t="s">
        <v>113</v>
      </c>
      <c r="P252" s="9">
        <v>1</v>
      </c>
      <c r="Q252" s="9"/>
      <c r="R252" s="9"/>
      <c r="S252" s="9" t="s">
        <v>114</v>
      </c>
    </row>
    <row r="253" spans="1:19">
      <c r="A253" s="9" t="s">
        <v>19</v>
      </c>
      <c r="B253" s="9" t="s">
        <v>103</v>
      </c>
      <c r="C253" s="9" t="s">
        <v>22</v>
      </c>
      <c r="D253" s="9" t="s">
        <v>1453</v>
      </c>
      <c r="E253" s="9" t="s">
        <v>1454</v>
      </c>
      <c r="F253" s="9" t="s">
        <v>1416</v>
      </c>
      <c r="G253" s="9" t="s">
        <v>1455</v>
      </c>
      <c r="H253" s="9" t="s">
        <v>1456</v>
      </c>
      <c r="I253" s="9">
        <v>2026</v>
      </c>
      <c r="J253" s="9" t="s">
        <v>158</v>
      </c>
      <c r="K253" s="9" t="s">
        <v>1457</v>
      </c>
      <c r="L253" s="9" t="s">
        <v>1458</v>
      </c>
      <c r="M253" s="9" t="s">
        <v>182</v>
      </c>
      <c r="N253" s="9" t="s">
        <v>182</v>
      </c>
      <c r="O253" s="9" t="s">
        <v>113</v>
      </c>
      <c r="P253" s="9">
        <v>1</v>
      </c>
      <c r="Q253" s="9"/>
      <c r="R253" s="9"/>
      <c r="S253" s="9" t="s">
        <v>114</v>
      </c>
    </row>
    <row r="254" spans="1:19">
      <c r="A254" s="9" t="s">
        <v>19</v>
      </c>
      <c r="B254" s="9" t="s">
        <v>103</v>
      </c>
      <c r="C254" s="9" t="s">
        <v>22</v>
      </c>
      <c r="D254" s="9" t="s">
        <v>1459</v>
      </c>
      <c r="E254" s="9" t="s">
        <v>1460</v>
      </c>
      <c r="F254" s="9" t="s">
        <v>1461</v>
      </c>
      <c r="G254" s="9" t="s">
        <v>1462</v>
      </c>
      <c r="H254" s="9" t="s">
        <v>1456</v>
      </c>
      <c r="I254" s="9">
        <v>2026</v>
      </c>
      <c r="J254" s="9" t="s">
        <v>158</v>
      </c>
      <c r="K254" s="9" t="s">
        <v>1463</v>
      </c>
      <c r="L254" s="9" t="s">
        <v>1464</v>
      </c>
      <c r="M254" s="9" t="s">
        <v>182</v>
      </c>
      <c r="N254" s="9" t="s">
        <v>182</v>
      </c>
      <c r="O254" s="9" t="s">
        <v>113</v>
      </c>
      <c r="P254" s="9">
        <v>1</v>
      </c>
      <c r="Q254" s="9"/>
      <c r="R254" s="9"/>
      <c r="S254" s="9" t="s">
        <v>114</v>
      </c>
    </row>
    <row r="255" spans="1:19">
      <c r="A255" s="9" t="s">
        <v>19</v>
      </c>
      <c r="B255" s="9" t="s">
        <v>103</v>
      </c>
      <c r="C255" s="9" t="s">
        <v>22</v>
      </c>
      <c r="D255" s="9" t="s">
        <v>1465</v>
      </c>
      <c r="E255" s="9" t="s">
        <v>1466</v>
      </c>
      <c r="F255" s="9" t="s">
        <v>1467</v>
      </c>
      <c r="G255" s="9" t="s">
        <v>1468</v>
      </c>
      <c r="H255" s="9" t="s">
        <v>1456</v>
      </c>
      <c r="I255" s="9">
        <v>2026</v>
      </c>
      <c r="J255" s="9" t="s">
        <v>158</v>
      </c>
      <c r="K255" s="9" t="s">
        <v>1469</v>
      </c>
      <c r="L255" s="9" t="s">
        <v>1470</v>
      </c>
      <c r="M255" s="9" t="s">
        <v>182</v>
      </c>
      <c r="N255" s="9" t="s">
        <v>182</v>
      </c>
      <c r="O255" s="9" t="s">
        <v>113</v>
      </c>
      <c r="P255" s="9">
        <v>1</v>
      </c>
      <c r="Q255" s="9"/>
      <c r="R255" s="9"/>
      <c r="S255" s="9" t="s">
        <v>114</v>
      </c>
    </row>
    <row r="256" spans="1:19">
      <c r="A256" s="9" t="s">
        <v>19</v>
      </c>
      <c r="B256" s="9" t="s">
        <v>103</v>
      </c>
      <c r="C256" s="9" t="s">
        <v>22</v>
      </c>
      <c r="D256" s="9" t="s">
        <v>1471</v>
      </c>
      <c r="E256" s="9" t="s">
        <v>1472</v>
      </c>
      <c r="F256" s="9" t="s">
        <v>1473</v>
      </c>
      <c r="G256" s="9" t="s">
        <v>1474</v>
      </c>
      <c r="H256" s="9" t="s">
        <v>1475</v>
      </c>
      <c r="I256" s="9">
        <v>2026</v>
      </c>
      <c r="J256" s="9" t="s">
        <v>158</v>
      </c>
      <c r="K256" s="9" t="s">
        <v>1476</v>
      </c>
      <c r="L256" s="9" t="s">
        <v>1477</v>
      </c>
      <c r="M256" s="9" t="s">
        <v>182</v>
      </c>
      <c r="N256" s="9" t="s">
        <v>182</v>
      </c>
      <c r="O256" s="9" t="s">
        <v>113</v>
      </c>
      <c r="P256" s="9">
        <v>1</v>
      </c>
      <c r="Q256" s="9"/>
      <c r="R256" s="9"/>
      <c r="S256" s="9" t="s">
        <v>114</v>
      </c>
    </row>
    <row r="257" spans="1:19">
      <c r="A257" s="9" t="s">
        <v>19</v>
      </c>
      <c r="B257" s="9" t="s">
        <v>103</v>
      </c>
      <c r="C257" s="9" t="s">
        <v>22</v>
      </c>
      <c r="D257" s="9" t="s">
        <v>1478</v>
      </c>
      <c r="E257" s="9" t="s">
        <v>1479</v>
      </c>
      <c r="F257" s="9" t="s">
        <v>1229</v>
      </c>
      <c r="G257" s="9" t="s">
        <v>1480</v>
      </c>
      <c r="H257" s="9" t="s">
        <v>1475</v>
      </c>
      <c r="I257" s="9">
        <v>2026</v>
      </c>
      <c r="J257" s="9" t="s">
        <v>158</v>
      </c>
      <c r="K257" s="9" t="s">
        <v>1481</v>
      </c>
      <c r="L257" s="9" t="s">
        <v>1482</v>
      </c>
      <c r="M257" s="9" t="s">
        <v>182</v>
      </c>
      <c r="N257" s="9" t="s">
        <v>182</v>
      </c>
      <c r="O257" s="9" t="s">
        <v>113</v>
      </c>
      <c r="P257" s="9">
        <v>1</v>
      </c>
      <c r="Q257" s="9"/>
      <c r="R257" s="9"/>
      <c r="S257" s="9" t="s">
        <v>114</v>
      </c>
    </row>
    <row r="258" spans="1:19">
      <c r="A258" s="9" t="s">
        <v>19</v>
      </c>
      <c r="B258" s="9" t="s">
        <v>103</v>
      </c>
      <c r="C258" s="9" t="s">
        <v>22</v>
      </c>
      <c r="D258" s="9" t="s">
        <v>1483</v>
      </c>
      <c r="E258" s="9" t="s">
        <v>1484</v>
      </c>
      <c r="F258" s="9" t="s">
        <v>1485</v>
      </c>
      <c r="G258" s="9" t="s">
        <v>1486</v>
      </c>
      <c r="H258" s="9" t="s">
        <v>1475</v>
      </c>
      <c r="I258" s="9">
        <v>2026</v>
      </c>
      <c r="J258" s="9" t="s">
        <v>158</v>
      </c>
      <c r="K258" s="9" t="s">
        <v>1487</v>
      </c>
      <c r="L258" s="9" t="s">
        <v>1488</v>
      </c>
      <c r="M258" s="9" t="s">
        <v>182</v>
      </c>
      <c r="N258" s="9" t="s">
        <v>182</v>
      </c>
      <c r="O258" s="9" t="s">
        <v>113</v>
      </c>
      <c r="P258" s="9">
        <v>1</v>
      </c>
      <c r="Q258" s="9"/>
      <c r="R258" s="9"/>
      <c r="S258" s="9" t="s">
        <v>114</v>
      </c>
    </row>
    <row r="259" spans="1:19">
      <c r="A259" s="9" t="s">
        <v>19</v>
      </c>
      <c r="B259" s="9" t="s">
        <v>103</v>
      </c>
      <c r="C259" s="9" t="s">
        <v>22</v>
      </c>
      <c r="D259" s="9" t="s">
        <v>1489</v>
      </c>
      <c r="E259" s="9" t="s">
        <v>1490</v>
      </c>
      <c r="F259" s="9" t="s">
        <v>1241</v>
      </c>
      <c r="G259" s="9" t="s">
        <v>1491</v>
      </c>
      <c r="H259" s="9" t="s">
        <v>1492</v>
      </c>
      <c r="I259" s="9">
        <v>2026</v>
      </c>
      <c r="J259" s="9" t="s">
        <v>158</v>
      </c>
      <c r="K259" s="9" t="s">
        <v>1493</v>
      </c>
      <c r="L259" s="9" t="s">
        <v>1494</v>
      </c>
      <c r="M259" s="9" t="s">
        <v>182</v>
      </c>
      <c r="N259" s="9" t="s">
        <v>182</v>
      </c>
      <c r="O259" s="9" t="s">
        <v>113</v>
      </c>
      <c r="P259" s="9">
        <v>1</v>
      </c>
      <c r="Q259" s="9"/>
      <c r="R259" s="9"/>
      <c r="S259" s="9" t="s">
        <v>114</v>
      </c>
    </row>
    <row r="260" spans="1:19">
      <c r="A260" s="9" t="s">
        <v>19</v>
      </c>
      <c r="B260" s="9" t="s">
        <v>103</v>
      </c>
      <c r="C260" s="9" t="s">
        <v>22</v>
      </c>
      <c r="D260" s="9" t="s">
        <v>1495</v>
      </c>
      <c r="E260" s="9" t="s">
        <v>1496</v>
      </c>
      <c r="F260" s="9" t="s">
        <v>1073</v>
      </c>
      <c r="G260" s="9" t="s">
        <v>1497</v>
      </c>
      <c r="H260" s="9" t="s">
        <v>1498</v>
      </c>
      <c r="I260" s="9">
        <v>2026</v>
      </c>
      <c r="J260" s="9" t="s">
        <v>109</v>
      </c>
      <c r="K260" s="9" t="s">
        <v>852</v>
      </c>
      <c r="L260" s="9" t="s">
        <v>1499</v>
      </c>
      <c r="M260" s="9" t="s">
        <v>182</v>
      </c>
      <c r="N260" s="9" t="s">
        <v>182</v>
      </c>
      <c r="O260" s="9" t="s">
        <v>113</v>
      </c>
      <c r="P260" s="9">
        <v>1</v>
      </c>
      <c r="Q260" s="9"/>
      <c r="R260" s="9"/>
      <c r="S260" s="9" t="s">
        <v>114</v>
      </c>
    </row>
    <row r="261" spans="1:19">
      <c r="A261" s="9" t="s">
        <v>19</v>
      </c>
      <c r="B261" s="9" t="s">
        <v>103</v>
      </c>
      <c r="C261" s="9" t="s">
        <v>22</v>
      </c>
      <c r="D261" s="9" t="s">
        <v>1500</v>
      </c>
      <c r="E261" s="9" t="s">
        <v>1501</v>
      </c>
      <c r="F261" s="9" t="s">
        <v>845</v>
      </c>
      <c r="G261" s="9" t="s">
        <v>1502</v>
      </c>
      <c r="H261" s="9" t="s">
        <v>1498</v>
      </c>
      <c r="I261" s="9">
        <v>2026</v>
      </c>
      <c r="J261" s="9" t="s">
        <v>109</v>
      </c>
      <c r="K261" s="9" t="s">
        <v>1005</v>
      </c>
      <c r="L261" s="9" t="s">
        <v>1503</v>
      </c>
      <c r="M261" s="9" t="s">
        <v>182</v>
      </c>
      <c r="N261" s="9" t="s">
        <v>182</v>
      </c>
      <c r="O261" s="9" t="s">
        <v>113</v>
      </c>
      <c r="P261" s="9">
        <v>1</v>
      </c>
      <c r="Q261" s="9"/>
      <c r="R261" s="9"/>
      <c r="S261" s="9" t="s">
        <v>114</v>
      </c>
    </row>
    <row r="262" spans="1:19">
      <c r="A262" s="9" t="s">
        <v>19</v>
      </c>
      <c r="B262" s="9" t="s">
        <v>103</v>
      </c>
      <c r="C262" s="9" t="s">
        <v>22</v>
      </c>
      <c r="D262" s="9" t="s">
        <v>1504</v>
      </c>
      <c r="E262" s="9" t="s">
        <v>1505</v>
      </c>
      <c r="F262" s="9" t="s">
        <v>1506</v>
      </c>
      <c r="G262" s="9" t="s">
        <v>1507</v>
      </c>
      <c r="H262" s="9" t="s">
        <v>1508</v>
      </c>
      <c r="I262" s="9">
        <v>2026</v>
      </c>
      <c r="J262" s="9" t="s">
        <v>158</v>
      </c>
      <c r="K262" s="9" t="s">
        <v>1509</v>
      </c>
      <c r="L262" s="9" t="s">
        <v>1510</v>
      </c>
      <c r="M262" s="9" t="s">
        <v>182</v>
      </c>
      <c r="N262" s="9" t="s">
        <v>182</v>
      </c>
      <c r="O262" s="9" t="s">
        <v>113</v>
      </c>
      <c r="P262" s="9">
        <v>1</v>
      </c>
      <c r="Q262" s="9"/>
      <c r="R262" s="9"/>
      <c r="S262" s="9" t="s">
        <v>114</v>
      </c>
    </row>
    <row r="263" spans="1:19">
      <c r="A263" s="9" t="s">
        <v>19</v>
      </c>
      <c r="B263" s="9" t="s">
        <v>103</v>
      </c>
      <c r="C263" s="9" t="s">
        <v>22</v>
      </c>
      <c r="D263" s="9" t="s">
        <v>1511</v>
      </c>
      <c r="E263" s="9" t="s">
        <v>1512</v>
      </c>
      <c r="F263" s="9" t="s">
        <v>963</v>
      </c>
      <c r="G263" s="9" t="s">
        <v>1513</v>
      </c>
      <c r="H263" s="9" t="s">
        <v>1514</v>
      </c>
      <c r="I263" s="9">
        <v>2026</v>
      </c>
      <c r="J263" s="9" t="s">
        <v>109</v>
      </c>
      <c r="K263" s="9" t="s">
        <v>613</v>
      </c>
      <c r="L263" s="9" t="s">
        <v>1515</v>
      </c>
      <c r="M263" s="9" t="s">
        <v>182</v>
      </c>
      <c r="N263" s="9" t="s">
        <v>182</v>
      </c>
      <c r="O263" s="9" t="s">
        <v>113</v>
      </c>
      <c r="P263" s="9">
        <v>1</v>
      </c>
      <c r="Q263" s="9"/>
      <c r="R263" s="9"/>
      <c r="S263" s="9" t="s">
        <v>114</v>
      </c>
    </row>
    <row r="264" spans="1:19">
      <c r="A264" s="9" t="s">
        <v>19</v>
      </c>
      <c r="B264" s="9" t="s">
        <v>103</v>
      </c>
      <c r="C264" s="9" t="s">
        <v>22</v>
      </c>
      <c r="D264" s="9" t="s">
        <v>1516</v>
      </c>
      <c r="E264" s="9" t="s">
        <v>1517</v>
      </c>
      <c r="F264" s="9" t="s">
        <v>1518</v>
      </c>
      <c r="G264" s="9" t="s">
        <v>1519</v>
      </c>
      <c r="H264" s="9" t="s">
        <v>1520</v>
      </c>
      <c r="I264" s="9">
        <v>2026</v>
      </c>
      <c r="J264" s="9" t="s">
        <v>158</v>
      </c>
      <c r="K264" s="9" t="s">
        <v>1521</v>
      </c>
      <c r="L264" s="9" t="s">
        <v>1522</v>
      </c>
      <c r="M264" s="9" t="s">
        <v>182</v>
      </c>
      <c r="N264" s="9" t="s">
        <v>182</v>
      </c>
      <c r="O264" s="9" t="s">
        <v>113</v>
      </c>
      <c r="P264" s="9">
        <v>1</v>
      </c>
      <c r="Q264" s="9"/>
      <c r="R264" s="9"/>
      <c r="S264" s="9" t="s">
        <v>114</v>
      </c>
    </row>
    <row r="265" spans="1:19">
      <c r="A265" s="9" t="s">
        <v>19</v>
      </c>
      <c r="B265" s="9" t="s">
        <v>103</v>
      </c>
      <c r="C265" s="9" t="s">
        <v>22</v>
      </c>
      <c r="D265" s="9" t="s">
        <v>1523</v>
      </c>
      <c r="E265" s="9" t="s">
        <v>1524</v>
      </c>
      <c r="F265" s="9" t="s">
        <v>1525</v>
      </c>
      <c r="G265" s="9" t="s">
        <v>1526</v>
      </c>
      <c r="H265" s="9" t="s">
        <v>1520</v>
      </c>
      <c r="I265" s="9">
        <v>2026</v>
      </c>
      <c r="J265" s="9" t="s">
        <v>158</v>
      </c>
      <c r="K265" s="9" t="s">
        <v>1527</v>
      </c>
      <c r="L265" s="9" t="s">
        <v>1528</v>
      </c>
      <c r="M265" s="9" t="s">
        <v>182</v>
      </c>
      <c r="N265" s="9" t="s">
        <v>182</v>
      </c>
      <c r="O265" s="9" t="s">
        <v>113</v>
      </c>
      <c r="P265" s="9">
        <v>1</v>
      </c>
      <c r="Q265" s="9"/>
      <c r="R265" s="9"/>
      <c r="S265" s="9" t="s">
        <v>114</v>
      </c>
    </row>
    <row r="266" spans="1:19">
      <c r="A266" s="9" t="s">
        <v>19</v>
      </c>
      <c r="B266" s="9" t="s">
        <v>103</v>
      </c>
      <c r="C266" s="9" t="s">
        <v>22</v>
      </c>
      <c r="D266" s="9" t="s">
        <v>1529</v>
      </c>
      <c r="E266" s="9" t="s">
        <v>1530</v>
      </c>
      <c r="F266" s="9" t="s">
        <v>1531</v>
      </c>
      <c r="G266" s="9" t="s">
        <v>1532</v>
      </c>
      <c r="H266" s="9" t="s">
        <v>1520</v>
      </c>
      <c r="I266" s="9">
        <v>2026</v>
      </c>
      <c r="J266" s="9" t="s">
        <v>158</v>
      </c>
      <c r="K266" s="9" t="s">
        <v>1533</v>
      </c>
      <c r="L266" s="9" t="s">
        <v>1534</v>
      </c>
      <c r="M266" s="9" t="s">
        <v>182</v>
      </c>
      <c r="N266" s="9" t="s">
        <v>182</v>
      </c>
      <c r="O266" s="9" t="s">
        <v>113</v>
      </c>
      <c r="P266" s="9">
        <v>1</v>
      </c>
      <c r="Q266" s="9"/>
      <c r="R266" s="9"/>
      <c r="S266" s="9" t="s">
        <v>114</v>
      </c>
    </row>
    <row r="267" spans="1:19">
      <c r="A267" s="9" t="s">
        <v>19</v>
      </c>
      <c r="B267" s="9" t="s">
        <v>103</v>
      </c>
      <c r="C267" s="9" t="s">
        <v>22</v>
      </c>
      <c r="D267" s="9" t="s">
        <v>1535</v>
      </c>
      <c r="E267" s="9" t="s">
        <v>1536</v>
      </c>
      <c r="F267" s="9" t="s">
        <v>1537</v>
      </c>
      <c r="G267" s="9" t="s">
        <v>1538</v>
      </c>
      <c r="H267" s="9" t="s">
        <v>1539</v>
      </c>
      <c r="I267" s="9">
        <v>2026</v>
      </c>
      <c r="J267" s="9" t="s">
        <v>158</v>
      </c>
      <c r="K267" s="9" t="s">
        <v>1540</v>
      </c>
      <c r="L267" s="9" t="s">
        <v>1541</v>
      </c>
      <c r="M267" s="9" t="s">
        <v>182</v>
      </c>
      <c r="N267" s="9" t="s">
        <v>182</v>
      </c>
      <c r="O267" s="9" t="s">
        <v>113</v>
      </c>
      <c r="P267" s="9">
        <v>1</v>
      </c>
      <c r="Q267" s="9"/>
      <c r="R267" s="9"/>
      <c r="S267" s="9" t="s">
        <v>114</v>
      </c>
    </row>
    <row r="268" spans="1:19">
      <c r="A268" s="9" t="s">
        <v>19</v>
      </c>
      <c r="B268" s="9" t="s">
        <v>103</v>
      </c>
      <c r="C268" s="9" t="s">
        <v>22</v>
      </c>
      <c r="D268" s="9" t="s">
        <v>1542</v>
      </c>
      <c r="E268" s="9" t="s">
        <v>1543</v>
      </c>
      <c r="F268" s="9"/>
      <c r="G268" s="9" t="s">
        <v>1543</v>
      </c>
      <c r="H268" s="9" t="s">
        <v>1544</v>
      </c>
      <c r="I268" s="9">
        <v>2026</v>
      </c>
      <c r="J268" s="9" t="s">
        <v>1545</v>
      </c>
      <c r="K268" s="9" t="s">
        <v>1546</v>
      </c>
      <c r="L268" s="9" t="s">
        <v>1547</v>
      </c>
      <c r="M268" s="9" t="s">
        <v>182</v>
      </c>
      <c r="N268" s="9" t="s">
        <v>182</v>
      </c>
      <c r="O268" s="9" t="s">
        <v>113</v>
      </c>
      <c r="P268" s="9">
        <v>1</v>
      </c>
      <c r="Q268" s="9"/>
      <c r="R268" s="9"/>
      <c r="S268" s="9" t="s">
        <v>114</v>
      </c>
    </row>
    <row r="269" spans="1:19">
      <c r="A269" s="9" t="s">
        <v>19</v>
      </c>
      <c r="B269" s="9" t="s">
        <v>103</v>
      </c>
      <c r="C269" s="9" t="s">
        <v>22</v>
      </c>
      <c r="D269" s="9" t="s">
        <v>1548</v>
      </c>
      <c r="E269" s="9" t="s">
        <v>1549</v>
      </c>
      <c r="F269" s="9" t="s">
        <v>1363</v>
      </c>
      <c r="G269" s="9" t="s">
        <v>1550</v>
      </c>
      <c r="H269" s="9" t="s">
        <v>1551</v>
      </c>
      <c r="I269" s="9">
        <v>2026</v>
      </c>
      <c r="J269" s="9" t="s">
        <v>158</v>
      </c>
      <c r="K269" s="9" t="s">
        <v>1552</v>
      </c>
      <c r="L269" s="9" t="s">
        <v>1553</v>
      </c>
      <c r="M269" s="9" t="s">
        <v>182</v>
      </c>
      <c r="N269" s="9" t="s">
        <v>182</v>
      </c>
      <c r="O269" s="9" t="s">
        <v>113</v>
      </c>
      <c r="P269" s="9">
        <v>1</v>
      </c>
      <c r="Q269" s="9"/>
      <c r="R269" s="9"/>
      <c r="S269" s="9" t="s">
        <v>114</v>
      </c>
    </row>
    <row r="270" spans="1:19">
      <c r="A270" s="9" t="s">
        <v>19</v>
      </c>
      <c r="B270" s="9" t="s">
        <v>103</v>
      </c>
      <c r="C270" s="9" t="s">
        <v>22</v>
      </c>
      <c r="D270" s="9" t="s">
        <v>1554</v>
      </c>
      <c r="E270" s="9" t="s">
        <v>1555</v>
      </c>
      <c r="F270" s="9" t="s">
        <v>1556</v>
      </c>
      <c r="G270" s="9" t="s">
        <v>1557</v>
      </c>
      <c r="H270" s="9" t="s">
        <v>1558</v>
      </c>
      <c r="I270" s="9">
        <v>2026</v>
      </c>
      <c r="J270" s="9" t="s">
        <v>158</v>
      </c>
      <c r="K270" s="9" t="s">
        <v>1559</v>
      </c>
      <c r="L270" s="9" t="s">
        <v>1560</v>
      </c>
      <c r="M270" s="9" t="s">
        <v>182</v>
      </c>
      <c r="N270" s="9" t="s">
        <v>182</v>
      </c>
      <c r="O270" s="9" t="s">
        <v>113</v>
      </c>
      <c r="P270" s="9">
        <v>1</v>
      </c>
      <c r="Q270" s="9"/>
      <c r="R270" s="9"/>
      <c r="S270" s="9" t="s">
        <v>114</v>
      </c>
    </row>
    <row r="271" spans="1:19">
      <c r="A271" s="9" t="s">
        <v>29</v>
      </c>
      <c r="B271" s="9" t="s">
        <v>1561</v>
      </c>
      <c r="C271" s="9" t="s">
        <v>30</v>
      </c>
      <c r="D271" s="9" t="s">
        <v>1562</v>
      </c>
      <c r="E271" s="9" t="s">
        <v>1563</v>
      </c>
      <c r="F271" s="9" t="s">
        <v>1564</v>
      </c>
      <c r="G271" s="9" t="s">
        <v>1563</v>
      </c>
      <c r="H271" s="9" t="s">
        <v>1565</v>
      </c>
      <c r="I271" s="9">
        <v>2025</v>
      </c>
      <c r="J271" s="9" t="s">
        <v>130</v>
      </c>
      <c r="K271" s="9" t="s">
        <v>1566</v>
      </c>
      <c r="L271" s="9" t="s">
        <v>1567</v>
      </c>
      <c r="M271" s="9" t="s">
        <v>1568</v>
      </c>
      <c r="N271" s="9" t="s">
        <v>1568</v>
      </c>
      <c r="O271" s="9" t="s">
        <v>113</v>
      </c>
      <c r="P271" s="9">
        <v>1</v>
      </c>
      <c r="Q271" s="9"/>
      <c r="R271" s="9"/>
      <c r="S271" s="9" t="s">
        <v>1569</v>
      </c>
    </row>
    <row r="272" spans="1:19">
      <c r="A272" s="9" t="s">
        <v>29</v>
      </c>
      <c r="B272" s="9" t="s">
        <v>1561</v>
      </c>
      <c r="C272" s="9" t="s">
        <v>30</v>
      </c>
      <c r="D272" s="9" t="s">
        <v>1570</v>
      </c>
      <c r="E272" s="9" t="s">
        <v>1571</v>
      </c>
      <c r="F272" s="9" t="s">
        <v>1386</v>
      </c>
      <c r="G272" s="9" t="s">
        <v>1572</v>
      </c>
      <c r="H272" s="9" t="s">
        <v>1573</v>
      </c>
      <c r="I272" s="9">
        <v>2026</v>
      </c>
      <c r="J272" s="9" t="s">
        <v>158</v>
      </c>
      <c r="K272" s="9" t="s">
        <v>1574</v>
      </c>
      <c r="L272" s="9" t="s">
        <v>1575</v>
      </c>
      <c r="M272" s="9" t="s">
        <v>1576</v>
      </c>
      <c r="N272" s="9" t="s">
        <v>1576</v>
      </c>
      <c r="O272" s="9" t="s">
        <v>113</v>
      </c>
      <c r="P272" s="9">
        <v>1</v>
      </c>
      <c r="Q272" s="9"/>
      <c r="R272" s="9"/>
      <c r="S272" s="9" t="s">
        <v>1569</v>
      </c>
    </row>
    <row r="273" spans="1:19">
      <c r="A273" s="9" t="s">
        <v>29</v>
      </c>
      <c r="B273" s="9" t="s">
        <v>1561</v>
      </c>
      <c r="C273" s="9" t="s">
        <v>30</v>
      </c>
      <c r="D273" s="9" t="s">
        <v>1577</v>
      </c>
      <c r="E273" s="9" t="s">
        <v>1578</v>
      </c>
      <c r="F273" s="9" t="s">
        <v>1579</v>
      </c>
      <c r="G273" s="9" t="s">
        <v>1580</v>
      </c>
      <c r="H273" s="9" t="s">
        <v>1075</v>
      </c>
      <c r="I273" s="9">
        <v>2025</v>
      </c>
      <c r="J273" s="9" t="s">
        <v>158</v>
      </c>
      <c r="K273" s="9" t="s">
        <v>1581</v>
      </c>
      <c r="L273" s="9" t="s">
        <v>1582</v>
      </c>
      <c r="M273" s="9" t="s">
        <v>1576</v>
      </c>
      <c r="N273" s="9" t="s">
        <v>1576</v>
      </c>
      <c r="O273" s="9" t="s">
        <v>113</v>
      </c>
      <c r="P273" s="9">
        <v>1</v>
      </c>
      <c r="Q273" s="9"/>
      <c r="R273" s="9"/>
      <c r="S273" s="9" t="s">
        <v>1569</v>
      </c>
    </row>
    <row r="274" spans="1:19">
      <c r="A274" s="9" t="s">
        <v>29</v>
      </c>
      <c r="B274" s="9" t="s">
        <v>1561</v>
      </c>
      <c r="C274" s="9" t="s">
        <v>30</v>
      </c>
      <c r="D274" s="9" t="s">
        <v>1583</v>
      </c>
      <c r="E274" s="9" t="s">
        <v>1584</v>
      </c>
      <c r="F274" s="9" t="s">
        <v>1579</v>
      </c>
      <c r="G274" s="9" t="s">
        <v>1585</v>
      </c>
      <c r="H274" s="9" t="s">
        <v>1586</v>
      </c>
      <c r="I274" s="9">
        <v>2026</v>
      </c>
      <c r="J274" s="9" t="s">
        <v>1587</v>
      </c>
      <c r="K274" s="9" t="s">
        <v>1581</v>
      </c>
      <c r="L274" s="9" t="s">
        <v>1588</v>
      </c>
      <c r="M274" s="9" t="s">
        <v>1576</v>
      </c>
      <c r="N274" s="9" t="s">
        <v>1576</v>
      </c>
      <c r="O274" s="9" t="s">
        <v>113</v>
      </c>
      <c r="P274" s="9">
        <v>1</v>
      </c>
      <c r="Q274" s="9"/>
      <c r="R274" s="9"/>
      <c r="S274" s="9" t="s">
        <v>1569</v>
      </c>
    </row>
    <row r="275" spans="1:19">
      <c r="A275" s="9" t="s">
        <v>29</v>
      </c>
      <c r="B275" s="9" t="s">
        <v>1561</v>
      </c>
      <c r="C275" s="9" t="s">
        <v>30</v>
      </c>
      <c r="D275" s="9" t="s">
        <v>1589</v>
      </c>
      <c r="E275" s="9" t="s">
        <v>1590</v>
      </c>
      <c r="F275" s="9" t="s">
        <v>1591</v>
      </c>
      <c r="G275" s="9" t="s">
        <v>1592</v>
      </c>
      <c r="H275" s="9" t="s">
        <v>1593</v>
      </c>
      <c r="I275" s="9">
        <v>2025</v>
      </c>
      <c r="J275" s="9" t="s">
        <v>158</v>
      </c>
      <c r="K275" s="9" t="s">
        <v>1594</v>
      </c>
      <c r="L275" s="9" t="s">
        <v>1595</v>
      </c>
      <c r="M275" s="9" t="s">
        <v>1576</v>
      </c>
      <c r="N275" s="9" t="s">
        <v>1576</v>
      </c>
      <c r="O275" s="9" t="s">
        <v>113</v>
      </c>
      <c r="P275" s="9">
        <v>1</v>
      </c>
      <c r="Q275" s="9"/>
      <c r="R275" s="9"/>
      <c r="S275" s="9" t="s">
        <v>1569</v>
      </c>
    </row>
    <row r="276" spans="1:19">
      <c r="A276" s="9" t="s">
        <v>29</v>
      </c>
      <c r="B276" s="9" t="s">
        <v>1561</v>
      </c>
      <c r="C276" s="9" t="s">
        <v>30</v>
      </c>
      <c r="D276" s="9" t="s">
        <v>1596</v>
      </c>
      <c r="E276" s="9" t="s">
        <v>1597</v>
      </c>
      <c r="F276" s="9" t="s">
        <v>1386</v>
      </c>
      <c r="G276" s="9" t="s">
        <v>1598</v>
      </c>
      <c r="H276" s="9" t="s">
        <v>1599</v>
      </c>
      <c r="I276" s="9">
        <v>2026</v>
      </c>
      <c r="J276" s="9" t="s">
        <v>158</v>
      </c>
      <c r="K276" s="9" t="s">
        <v>1600</v>
      </c>
      <c r="L276" s="9" t="s">
        <v>1601</v>
      </c>
      <c r="M276" s="9" t="s">
        <v>1576</v>
      </c>
      <c r="N276" s="9" t="s">
        <v>1576</v>
      </c>
      <c r="O276" s="9" t="s">
        <v>113</v>
      </c>
      <c r="P276" s="9">
        <v>1</v>
      </c>
      <c r="Q276" s="9"/>
      <c r="R276" s="9"/>
      <c r="S276" s="9" t="s">
        <v>1569</v>
      </c>
    </row>
    <row r="277" spans="1:19">
      <c r="A277" s="9" t="s">
        <v>29</v>
      </c>
      <c r="B277" s="9" t="s">
        <v>1561</v>
      </c>
      <c r="C277" s="9" t="s">
        <v>30</v>
      </c>
      <c r="D277" s="9" t="s">
        <v>1602</v>
      </c>
      <c r="E277" s="9" t="s">
        <v>1603</v>
      </c>
      <c r="F277" s="9" t="s">
        <v>1604</v>
      </c>
      <c r="G277" s="9" t="s">
        <v>1605</v>
      </c>
      <c r="H277" s="9" t="s">
        <v>1081</v>
      </c>
      <c r="I277" s="9">
        <v>2025</v>
      </c>
      <c r="J277" s="9" t="s">
        <v>158</v>
      </c>
      <c r="K277" s="9" t="s">
        <v>1606</v>
      </c>
      <c r="L277" s="9" t="s">
        <v>1607</v>
      </c>
      <c r="M277" s="9" t="s">
        <v>1576</v>
      </c>
      <c r="N277" s="9" t="s">
        <v>1576</v>
      </c>
      <c r="O277" s="9" t="s">
        <v>113</v>
      </c>
      <c r="P277" s="9">
        <v>1</v>
      </c>
      <c r="Q277" s="9"/>
      <c r="R277" s="9"/>
      <c r="S277" s="9" t="s">
        <v>1569</v>
      </c>
    </row>
    <row r="278" spans="1:19">
      <c r="A278" s="9" t="s">
        <v>29</v>
      </c>
      <c r="B278" s="9" t="s">
        <v>1561</v>
      </c>
      <c r="C278" s="9" t="s">
        <v>30</v>
      </c>
      <c r="D278" s="9" t="s">
        <v>1608</v>
      </c>
      <c r="E278" s="9" t="s">
        <v>1609</v>
      </c>
      <c r="F278" s="9" t="s">
        <v>1610</v>
      </c>
      <c r="G278" s="9" t="s">
        <v>1611</v>
      </c>
      <c r="H278" s="9" t="s">
        <v>1423</v>
      </c>
      <c r="I278" s="9">
        <v>2026</v>
      </c>
      <c r="J278" s="9" t="s">
        <v>158</v>
      </c>
      <c r="K278" s="9" t="s">
        <v>1612</v>
      </c>
      <c r="L278" s="9" t="s">
        <v>1613</v>
      </c>
      <c r="M278" s="9" t="s">
        <v>1576</v>
      </c>
      <c r="N278" s="9" t="s">
        <v>1576</v>
      </c>
      <c r="O278" s="9" t="s">
        <v>113</v>
      </c>
      <c r="P278" s="9">
        <v>1</v>
      </c>
      <c r="Q278" s="9"/>
      <c r="R278" s="9"/>
      <c r="S278" s="9" t="s">
        <v>1569</v>
      </c>
    </row>
    <row r="279" spans="1:19">
      <c r="A279" s="9" t="s">
        <v>29</v>
      </c>
      <c r="B279" s="9" t="s">
        <v>1561</v>
      </c>
      <c r="C279" s="9" t="s">
        <v>30</v>
      </c>
      <c r="D279" s="9" t="s">
        <v>1614</v>
      </c>
      <c r="E279" s="9" t="s">
        <v>1615</v>
      </c>
      <c r="F279" s="9" t="s">
        <v>1616</v>
      </c>
      <c r="G279" s="9" t="s">
        <v>1617</v>
      </c>
      <c r="H279" s="9" t="s">
        <v>1498</v>
      </c>
      <c r="I279" s="9">
        <v>2026</v>
      </c>
      <c r="J279" s="9" t="s">
        <v>158</v>
      </c>
      <c r="K279" s="9" t="s">
        <v>1618</v>
      </c>
      <c r="L279" s="9" t="s">
        <v>1619</v>
      </c>
      <c r="M279" s="9" t="s">
        <v>1576</v>
      </c>
      <c r="N279" s="9" t="s">
        <v>1576</v>
      </c>
      <c r="O279" s="9" t="s">
        <v>113</v>
      </c>
      <c r="P279" s="9">
        <v>1</v>
      </c>
      <c r="Q279" s="9"/>
      <c r="R279" s="9"/>
      <c r="S279" s="9" t="s">
        <v>1569</v>
      </c>
    </row>
    <row r="280" spans="1:19">
      <c r="A280" s="9" t="s">
        <v>29</v>
      </c>
      <c r="B280" s="9" t="s">
        <v>1561</v>
      </c>
      <c r="C280" s="9" t="s">
        <v>30</v>
      </c>
      <c r="D280" s="9" t="s">
        <v>1620</v>
      </c>
      <c r="E280" s="9" t="s">
        <v>1621</v>
      </c>
      <c r="F280" s="9" t="s">
        <v>1386</v>
      </c>
      <c r="G280" s="9" t="s">
        <v>1622</v>
      </c>
      <c r="H280" s="9" t="s">
        <v>1475</v>
      </c>
      <c r="I280" s="9">
        <v>2026</v>
      </c>
      <c r="J280" s="9" t="s">
        <v>158</v>
      </c>
      <c r="K280" s="9" t="s">
        <v>1623</v>
      </c>
      <c r="L280" s="9" t="s">
        <v>1624</v>
      </c>
      <c r="M280" s="9" t="s">
        <v>1576</v>
      </c>
      <c r="N280" s="9" t="s">
        <v>1576</v>
      </c>
      <c r="O280" s="9" t="s">
        <v>113</v>
      </c>
      <c r="P280" s="9">
        <v>1</v>
      </c>
      <c r="Q280" s="9"/>
      <c r="R280" s="9"/>
      <c r="S280" s="9" t="s">
        <v>1569</v>
      </c>
    </row>
    <row r="281" spans="1:19">
      <c r="A281" s="9" t="s">
        <v>29</v>
      </c>
      <c r="B281" s="9" t="s">
        <v>1561</v>
      </c>
      <c r="C281" s="9" t="s">
        <v>30</v>
      </c>
      <c r="D281" s="9" t="s">
        <v>1625</v>
      </c>
      <c r="E281" s="9" t="s">
        <v>1626</v>
      </c>
      <c r="F281" s="9" t="s">
        <v>1386</v>
      </c>
      <c r="G281" s="9" t="s">
        <v>1627</v>
      </c>
      <c r="H281" s="9" t="s">
        <v>1628</v>
      </c>
      <c r="I281" s="9">
        <v>2026</v>
      </c>
      <c r="J281" s="9" t="s">
        <v>158</v>
      </c>
      <c r="K281" s="9" t="s">
        <v>1629</v>
      </c>
      <c r="L281" s="9" t="s">
        <v>1630</v>
      </c>
      <c r="M281" s="9" t="s">
        <v>1576</v>
      </c>
      <c r="N281" s="9" t="s">
        <v>1576</v>
      </c>
      <c r="O281" s="9" t="s">
        <v>113</v>
      </c>
      <c r="P281" s="9">
        <v>1</v>
      </c>
      <c r="Q281" s="9"/>
      <c r="R281" s="9"/>
      <c r="S281" s="9" t="s">
        <v>1569</v>
      </c>
    </row>
    <row r="282" spans="1:19">
      <c r="A282" s="9" t="s">
        <v>29</v>
      </c>
      <c r="B282" s="9" t="s">
        <v>1561</v>
      </c>
      <c r="C282" s="9" t="s">
        <v>30</v>
      </c>
      <c r="D282" s="9" t="s">
        <v>1631</v>
      </c>
      <c r="E282" s="9" t="s">
        <v>1632</v>
      </c>
      <c r="F282" s="9" t="s">
        <v>1591</v>
      </c>
      <c r="G282" s="9" t="s">
        <v>1633</v>
      </c>
      <c r="H282" s="9" t="s">
        <v>1634</v>
      </c>
      <c r="I282" s="9">
        <v>2026</v>
      </c>
      <c r="J282" s="9" t="s">
        <v>158</v>
      </c>
      <c r="K282" s="9" t="s">
        <v>1635</v>
      </c>
      <c r="L282" s="9" t="s">
        <v>1636</v>
      </c>
      <c r="M282" s="9" t="s">
        <v>1576</v>
      </c>
      <c r="N282" s="9" t="s">
        <v>1576</v>
      </c>
      <c r="O282" s="9" t="s">
        <v>113</v>
      </c>
      <c r="P282" s="9">
        <v>1</v>
      </c>
      <c r="Q282" s="9"/>
      <c r="R282" s="9"/>
      <c r="S282" s="9" t="s">
        <v>1569</v>
      </c>
    </row>
    <row r="283" spans="1:19">
      <c r="A283" s="9" t="s">
        <v>29</v>
      </c>
      <c r="B283" s="9" t="s">
        <v>1561</v>
      </c>
      <c r="C283" s="9" t="s">
        <v>30</v>
      </c>
      <c r="D283" s="9" t="s">
        <v>1637</v>
      </c>
      <c r="E283" s="9" t="s">
        <v>1638</v>
      </c>
      <c r="F283" s="9" t="s">
        <v>1604</v>
      </c>
      <c r="G283" s="9" t="s">
        <v>1639</v>
      </c>
      <c r="H283" s="9" t="s">
        <v>1246</v>
      </c>
      <c r="I283" s="9">
        <v>2025</v>
      </c>
      <c r="J283" s="9" t="s">
        <v>158</v>
      </c>
      <c r="K283" s="9" t="s">
        <v>1640</v>
      </c>
      <c r="L283" s="9" t="s">
        <v>1641</v>
      </c>
      <c r="M283" s="9" t="s">
        <v>1576</v>
      </c>
      <c r="N283" s="9" t="s">
        <v>1576</v>
      </c>
      <c r="O283" s="9" t="s">
        <v>113</v>
      </c>
      <c r="P283" s="9">
        <v>1</v>
      </c>
      <c r="Q283" s="9"/>
      <c r="R283" s="9"/>
      <c r="S283" s="9" t="s">
        <v>1569</v>
      </c>
    </row>
    <row r="284" spans="1:19">
      <c r="A284" s="9" t="s">
        <v>29</v>
      </c>
      <c r="B284" s="9" t="s">
        <v>1561</v>
      </c>
      <c r="C284" s="9" t="s">
        <v>30</v>
      </c>
      <c r="D284" s="9" t="s">
        <v>1642</v>
      </c>
      <c r="E284" s="9" t="s">
        <v>1643</v>
      </c>
      <c r="F284" s="9" t="s">
        <v>1644</v>
      </c>
      <c r="G284" s="9" t="s">
        <v>1645</v>
      </c>
      <c r="H284" s="9" t="s">
        <v>1634</v>
      </c>
      <c r="I284" s="9">
        <v>2026</v>
      </c>
      <c r="J284" s="9" t="s">
        <v>158</v>
      </c>
      <c r="K284" s="9" t="s">
        <v>1646</v>
      </c>
      <c r="L284" s="9" t="s">
        <v>1647</v>
      </c>
      <c r="M284" s="9" t="s">
        <v>1576</v>
      </c>
      <c r="N284" s="9" t="s">
        <v>1576</v>
      </c>
      <c r="O284" s="9" t="s">
        <v>113</v>
      </c>
      <c r="P284" s="9">
        <v>1</v>
      </c>
      <c r="Q284" s="9"/>
      <c r="R284" s="9"/>
      <c r="S284" s="9" t="s">
        <v>1569</v>
      </c>
    </row>
    <row r="285" spans="1:19">
      <c r="A285" s="9" t="s">
        <v>29</v>
      </c>
      <c r="B285" s="9" t="s">
        <v>1561</v>
      </c>
      <c r="C285" s="9" t="s">
        <v>30</v>
      </c>
      <c r="D285" s="9" t="s">
        <v>1648</v>
      </c>
      <c r="E285" s="9" t="s">
        <v>1649</v>
      </c>
      <c r="F285" s="9" t="s">
        <v>1386</v>
      </c>
      <c r="G285" s="9" t="s">
        <v>1650</v>
      </c>
      <c r="H285" s="9" t="s">
        <v>1508</v>
      </c>
      <c r="I285" s="9">
        <v>2026</v>
      </c>
      <c r="J285" s="9" t="s">
        <v>158</v>
      </c>
      <c r="K285" s="9" t="s">
        <v>1651</v>
      </c>
      <c r="L285" s="9" t="s">
        <v>1652</v>
      </c>
      <c r="M285" s="9" t="s">
        <v>1576</v>
      </c>
      <c r="N285" s="9" t="s">
        <v>1576</v>
      </c>
      <c r="O285" s="9" t="s">
        <v>113</v>
      </c>
      <c r="P285" s="9">
        <v>1</v>
      </c>
      <c r="Q285" s="9"/>
      <c r="R285" s="9"/>
      <c r="S285" s="9" t="s">
        <v>1569</v>
      </c>
    </row>
    <row r="286" spans="1:19">
      <c r="A286" s="9" t="s">
        <v>29</v>
      </c>
      <c r="B286" s="9" t="s">
        <v>1561</v>
      </c>
      <c r="C286" s="9" t="s">
        <v>30</v>
      </c>
      <c r="D286" s="9" t="s">
        <v>1653</v>
      </c>
      <c r="E286" s="9" t="s">
        <v>1654</v>
      </c>
      <c r="F286" s="9" t="s">
        <v>1386</v>
      </c>
      <c r="G286" s="9" t="s">
        <v>1655</v>
      </c>
      <c r="H286" s="9" t="s">
        <v>1544</v>
      </c>
      <c r="I286" s="9">
        <v>2026</v>
      </c>
      <c r="J286" s="9" t="s">
        <v>158</v>
      </c>
      <c r="K286" s="9" t="s">
        <v>1656</v>
      </c>
      <c r="L286" s="9" t="s">
        <v>1657</v>
      </c>
      <c r="M286" s="9" t="s">
        <v>1576</v>
      </c>
      <c r="N286" s="9" t="s">
        <v>1576</v>
      </c>
      <c r="O286" s="9" t="s">
        <v>113</v>
      </c>
      <c r="P286" s="9">
        <v>1</v>
      </c>
      <c r="Q286" s="9"/>
      <c r="R286" s="9"/>
      <c r="S286" s="9" t="s">
        <v>1569</v>
      </c>
    </row>
    <row r="287" spans="1:19">
      <c r="A287" s="9" t="s">
        <v>29</v>
      </c>
      <c r="B287" s="9" t="s">
        <v>1561</v>
      </c>
      <c r="C287" s="9" t="s">
        <v>30</v>
      </c>
      <c r="D287" s="9" t="s">
        <v>1658</v>
      </c>
      <c r="E287" s="9" t="s">
        <v>1659</v>
      </c>
      <c r="F287" s="9" t="s">
        <v>1386</v>
      </c>
      <c r="G287" s="9" t="s">
        <v>1660</v>
      </c>
      <c r="H287" s="9" t="s">
        <v>1661</v>
      </c>
      <c r="I287" s="9">
        <v>2026</v>
      </c>
      <c r="J287" s="9" t="s">
        <v>158</v>
      </c>
      <c r="K287" s="9" t="s">
        <v>1662</v>
      </c>
      <c r="L287" s="9" t="s">
        <v>1663</v>
      </c>
      <c r="M287" s="9" t="s">
        <v>1576</v>
      </c>
      <c r="N287" s="9" t="s">
        <v>1576</v>
      </c>
      <c r="O287" s="9" t="s">
        <v>113</v>
      </c>
      <c r="P287" s="9">
        <v>1</v>
      </c>
      <c r="Q287" s="9"/>
      <c r="R287" s="9"/>
      <c r="S287" s="9" t="s">
        <v>1569</v>
      </c>
    </row>
    <row r="288" spans="1:19">
      <c r="A288" s="9" t="s">
        <v>29</v>
      </c>
      <c r="B288" s="9" t="s">
        <v>1561</v>
      </c>
      <c r="C288" s="9" t="s">
        <v>30</v>
      </c>
      <c r="D288" s="9" t="s">
        <v>1664</v>
      </c>
      <c r="E288" s="9" t="s">
        <v>1665</v>
      </c>
      <c r="F288" s="9" t="s">
        <v>1604</v>
      </c>
      <c r="G288" s="9" t="s">
        <v>1666</v>
      </c>
      <c r="H288" s="9" t="s">
        <v>1667</v>
      </c>
      <c r="I288" s="9">
        <v>2026</v>
      </c>
      <c r="J288" s="9" t="s">
        <v>158</v>
      </c>
      <c r="K288" s="9" t="s">
        <v>1668</v>
      </c>
      <c r="L288" s="9" t="s">
        <v>1669</v>
      </c>
      <c r="M288" s="9" t="s">
        <v>1576</v>
      </c>
      <c r="N288" s="9" t="s">
        <v>1576</v>
      </c>
      <c r="O288" s="9" t="s">
        <v>113</v>
      </c>
      <c r="P288" s="9">
        <v>1</v>
      </c>
      <c r="Q288" s="9"/>
      <c r="R288" s="9"/>
      <c r="S288" s="9" t="s">
        <v>1569</v>
      </c>
    </row>
    <row r="289" spans="1:19">
      <c r="A289" s="9" t="s">
        <v>29</v>
      </c>
      <c r="B289" s="9" t="s">
        <v>1561</v>
      </c>
      <c r="C289" s="9" t="s">
        <v>30</v>
      </c>
      <c r="D289" s="9" t="s">
        <v>1670</v>
      </c>
      <c r="E289" s="9" t="s">
        <v>1671</v>
      </c>
      <c r="F289" s="9" t="s">
        <v>1604</v>
      </c>
      <c r="G289" s="9" t="s">
        <v>1672</v>
      </c>
      <c r="H289" s="9" t="s">
        <v>1673</v>
      </c>
      <c r="I289" s="9">
        <v>2025</v>
      </c>
      <c r="J289" s="9" t="s">
        <v>158</v>
      </c>
      <c r="K289" s="9" t="s">
        <v>1674</v>
      </c>
      <c r="L289" s="9" t="s">
        <v>1675</v>
      </c>
      <c r="M289" s="9" t="s">
        <v>1576</v>
      </c>
      <c r="N289" s="9" t="s">
        <v>1576</v>
      </c>
      <c r="O289" s="9" t="s">
        <v>113</v>
      </c>
      <c r="P289" s="9">
        <v>1</v>
      </c>
      <c r="Q289" s="9"/>
      <c r="R289" s="9"/>
      <c r="S289" s="9" t="s">
        <v>1569</v>
      </c>
    </row>
    <row r="290" spans="1:19">
      <c r="A290" s="9" t="s">
        <v>29</v>
      </c>
      <c r="B290" s="9" t="s">
        <v>1561</v>
      </c>
      <c r="C290" s="9" t="s">
        <v>30</v>
      </c>
      <c r="D290" s="9" t="s">
        <v>1676</v>
      </c>
      <c r="E290" s="9" t="s">
        <v>1677</v>
      </c>
      <c r="F290" s="9" t="s">
        <v>1678</v>
      </c>
      <c r="G290" s="9" t="s">
        <v>1679</v>
      </c>
      <c r="H290" s="9" t="s">
        <v>1680</v>
      </c>
      <c r="I290" s="9">
        <v>2018</v>
      </c>
      <c r="J290" s="9" t="s">
        <v>1587</v>
      </c>
      <c r="K290" s="9" t="s">
        <v>1681</v>
      </c>
      <c r="L290" s="9" t="s">
        <v>1682</v>
      </c>
      <c r="M290" s="9" t="s">
        <v>1683</v>
      </c>
      <c r="N290" s="9" t="s">
        <v>1683</v>
      </c>
      <c r="O290" s="9" t="s">
        <v>113</v>
      </c>
      <c r="P290" s="9">
        <v>1</v>
      </c>
      <c r="Q290" s="9"/>
      <c r="R290" s="9"/>
      <c r="S290" s="9" t="s">
        <v>1569</v>
      </c>
    </row>
    <row r="291" spans="1:19">
      <c r="A291" s="9" t="s">
        <v>29</v>
      </c>
      <c r="B291" s="9" t="s">
        <v>1561</v>
      </c>
      <c r="C291" s="9" t="s">
        <v>30</v>
      </c>
      <c r="D291" s="9" t="s">
        <v>1684</v>
      </c>
      <c r="E291" s="9" t="s">
        <v>1685</v>
      </c>
      <c r="F291" s="9" t="s">
        <v>1386</v>
      </c>
      <c r="G291" s="9" t="s">
        <v>1686</v>
      </c>
      <c r="H291" s="9" t="s">
        <v>1544</v>
      </c>
      <c r="I291" s="9">
        <v>2026</v>
      </c>
      <c r="J291" s="9" t="s">
        <v>158</v>
      </c>
      <c r="K291" s="9" t="s">
        <v>1687</v>
      </c>
      <c r="L291" s="9" t="s">
        <v>1688</v>
      </c>
      <c r="M291" s="9" t="s">
        <v>1576</v>
      </c>
      <c r="N291" s="9" t="s">
        <v>1576</v>
      </c>
      <c r="O291" s="9" t="s">
        <v>113</v>
      </c>
      <c r="P291" s="9">
        <v>1</v>
      </c>
      <c r="Q291" s="9"/>
      <c r="R291" s="9"/>
      <c r="S291" s="9" t="s">
        <v>1569</v>
      </c>
    </row>
    <row r="292" spans="1:19">
      <c r="A292" s="9" t="s">
        <v>29</v>
      </c>
      <c r="B292" s="9" t="s">
        <v>1561</v>
      </c>
      <c r="C292" s="9" t="s">
        <v>30</v>
      </c>
      <c r="D292" s="9" t="s">
        <v>1689</v>
      </c>
      <c r="E292" s="9" t="s">
        <v>1690</v>
      </c>
      <c r="F292" s="9" t="s">
        <v>1579</v>
      </c>
      <c r="G292" s="9" t="s">
        <v>1691</v>
      </c>
      <c r="H292" s="9" t="s">
        <v>1081</v>
      </c>
      <c r="I292" s="9">
        <v>2025</v>
      </c>
      <c r="J292" s="9" t="s">
        <v>158</v>
      </c>
      <c r="K292" s="9" t="s">
        <v>1692</v>
      </c>
      <c r="L292" s="9" t="s">
        <v>1693</v>
      </c>
      <c r="M292" s="9" t="s">
        <v>1576</v>
      </c>
      <c r="N292" s="9" t="s">
        <v>1576</v>
      </c>
      <c r="O292" s="9" t="s">
        <v>113</v>
      </c>
      <c r="P292" s="9">
        <v>1</v>
      </c>
      <c r="Q292" s="9"/>
      <c r="R292" s="9"/>
      <c r="S292" s="9" t="s">
        <v>1569</v>
      </c>
    </row>
    <row r="293" spans="1:19">
      <c r="A293" s="9" t="s">
        <v>29</v>
      </c>
      <c r="B293" s="9" t="s">
        <v>1561</v>
      </c>
      <c r="C293" s="9" t="s">
        <v>30</v>
      </c>
      <c r="D293" s="9" t="s">
        <v>1694</v>
      </c>
      <c r="E293" s="9" t="s">
        <v>1695</v>
      </c>
      <c r="F293" s="9" t="s">
        <v>1579</v>
      </c>
      <c r="G293" s="9" t="s">
        <v>1696</v>
      </c>
      <c r="H293" s="9" t="s">
        <v>1697</v>
      </c>
      <c r="I293" s="9">
        <v>2026</v>
      </c>
      <c r="J293" s="9" t="s">
        <v>1587</v>
      </c>
      <c r="K293" s="9" t="s">
        <v>1692</v>
      </c>
      <c r="L293" s="9" t="s">
        <v>1698</v>
      </c>
      <c r="M293" s="9" t="s">
        <v>1576</v>
      </c>
      <c r="N293" s="9" t="s">
        <v>1576</v>
      </c>
      <c r="O293" s="9" t="s">
        <v>113</v>
      </c>
      <c r="P293" s="9">
        <v>1</v>
      </c>
      <c r="Q293" s="9"/>
      <c r="R293" s="9"/>
      <c r="S293" s="9" t="s">
        <v>1569</v>
      </c>
    </row>
    <row r="294" spans="1:19">
      <c r="A294" s="9" t="s">
        <v>29</v>
      </c>
      <c r="B294" s="9" t="s">
        <v>1561</v>
      </c>
      <c r="C294" s="9" t="s">
        <v>30</v>
      </c>
      <c r="D294" s="9" t="s">
        <v>1699</v>
      </c>
      <c r="E294" s="9" t="s">
        <v>1700</v>
      </c>
      <c r="F294" s="9" t="s">
        <v>1579</v>
      </c>
      <c r="G294" s="9" t="s">
        <v>1701</v>
      </c>
      <c r="H294" s="9" t="s">
        <v>1697</v>
      </c>
      <c r="I294" s="9">
        <v>2026</v>
      </c>
      <c r="J294" s="9" t="s">
        <v>677</v>
      </c>
      <c r="K294" s="9" t="s">
        <v>1702</v>
      </c>
      <c r="L294" s="9" t="s">
        <v>1703</v>
      </c>
      <c r="M294" s="9" t="s">
        <v>1576</v>
      </c>
      <c r="N294" s="9" t="s">
        <v>1576</v>
      </c>
      <c r="O294" s="9" t="s">
        <v>113</v>
      </c>
      <c r="P294" s="9">
        <v>1</v>
      </c>
      <c r="Q294" s="9"/>
      <c r="R294" s="9"/>
      <c r="S294" s="9" t="s">
        <v>1569</v>
      </c>
    </row>
    <row r="295" spans="1:19">
      <c r="A295" s="9" t="s">
        <v>29</v>
      </c>
      <c r="B295" s="9" t="s">
        <v>1561</v>
      </c>
      <c r="C295" s="9" t="s">
        <v>30</v>
      </c>
      <c r="D295" s="9" t="s">
        <v>1704</v>
      </c>
      <c r="E295" s="9" t="s">
        <v>1705</v>
      </c>
      <c r="F295" s="9" t="s">
        <v>1386</v>
      </c>
      <c r="G295" s="9" t="s">
        <v>1706</v>
      </c>
      <c r="H295" s="9" t="s">
        <v>1544</v>
      </c>
      <c r="I295" s="9">
        <v>2026</v>
      </c>
      <c r="J295" s="9" t="s">
        <v>158</v>
      </c>
      <c r="K295" s="9" t="s">
        <v>1707</v>
      </c>
      <c r="L295" s="9" t="s">
        <v>1708</v>
      </c>
      <c r="M295" s="9" t="s">
        <v>1576</v>
      </c>
      <c r="N295" s="9" t="s">
        <v>1576</v>
      </c>
      <c r="O295" s="9" t="s">
        <v>113</v>
      </c>
      <c r="P295" s="9">
        <v>1</v>
      </c>
      <c r="Q295" s="9"/>
      <c r="R295" s="9"/>
      <c r="S295" s="9" t="s">
        <v>1569</v>
      </c>
    </row>
    <row r="296" spans="1:19">
      <c r="A296" s="9" t="s">
        <v>29</v>
      </c>
      <c r="B296" s="9" t="s">
        <v>1561</v>
      </c>
      <c r="C296" s="9" t="s">
        <v>30</v>
      </c>
      <c r="D296" s="9" t="s">
        <v>1709</v>
      </c>
      <c r="E296" s="9" t="s">
        <v>1710</v>
      </c>
      <c r="F296" s="9" t="s">
        <v>1604</v>
      </c>
      <c r="G296" s="9" t="s">
        <v>1711</v>
      </c>
      <c r="H296" s="9" t="s">
        <v>1712</v>
      </c>
      <c r="I296" s="9">
        <v>2025</v>
      </c>
      <c r="J296" s="9" t="s">
        <v>158</v>
      </c>
      <c r="K296" s="9" t="s">
        <v>1713</v>
      </c>
      <c r="L296" s="9" t="s">
        <v>1714</v>
      </c>
      <c r="M296" s="9" t="s">
        <v>1576</v>
      </c>
      <c r="N296" s="9" t="s">
        <v>1576</v>
      </c>
      <c r="O296" s="9" t="s">
        <v>113</v>
      </c>
      <c r="P296" s="9">
        <v>1</v>
      </c>
      <c r="Q296" s="9"/>
      <c r="R296" s="9"/>
      <c r="S296" s="9" t="s">
        <v>1569</v>
      </c>
    </row>
    <row r="297" spans="1:19">
      <c r="A297" s="9" t="s">
        <v>29</v>
      </c>
      <c r="B297" s="9" t="s">
        <v>1561</v>
      </c>
      <c r="C297" s="9" t="s">
        <v>30</v>
      </c>
      <c r="D297" s="9" t="s">
        <v>1715</v>
      </c>
      <c r="E297" s="9" t="s">
        <v>1716</v>
      </c>
      <c r="F297" s="9" t="s">
        <v>1386</v>
      </c>
      <c r="G297" s="9" t="s">
        <v>1717</v>
      </c>
      <c r="H297" s="9" t="s">
        <v>1628</v>
      </c>
      <c r="I297" s="9">
        <v>2026</v>
      </c>
      <c r="J297" s="9" t="s">
        <v>158</v>
      </c>
      <c r="K297" s="9" t="s">
        <v>1718</v>
      </c>
      <c r="L297" s="9" t="s">
        <v>1719</v>
      </c>
      <c r="M297" s="9" t="s">
        <v>1576</v>
      </c>
      <c r="N297" s="9" t="s">
        <v>1576</v>
      </c>
      <c r="O297" s="9" t="s">
        <v>113</v>
      </c>
      <c r="P297" s="9">
        <v>1</v>
      </c>
      <c r="Q297" s="9"/>
      <c r="R297" s="9"/>
      <c r="S297" s="9" t="s">
        <v>1569</v>
      </c>
    </row>
    <row r="298" spans="1:19">
      <c r="A298" s="9" t="s">
        <v>29</v>
      </c>
      <c r="B298" s="9" t="s">
        <v>1561</v>
      </c>
      <c r="C298" s="9" t="s">
        <v>30</v>
      </c>
      <c r="D298" s="9" t="s">
        <v>1720</v>
      </c>
      <c r="E298" s="9" t="s">
        <v>1721</v>
      </c>
      <c r="F298" s="9" t="s">
        <v>1722</v>
      </c>
      <c r="G298" s="9" t="s">
        <v>1721</v>
      </c>
      <c r="H298" s="9" t="s">
        <v>1723</v>
      </c>
      <c r="I298" s="9">
        <v>2017</v>
      </c>
      <c r="J298" s="9" t="s">
        <v>130</v>
      </c>
      <c r="K298" s="9" t="s">
        <v>1724</v>
      </c>
      <c r="L298" s="9" t="s">
        <v>1725</v>
      </c>
      <c r="M298" s="9" t="s">
        <v>1726</v>
      </c>
      <c r="N298" s="9" t="s">
        <v>1726</v>
      </c>
      <c r="O298" s="9" t="s">
        <v>113</v>
      </c>
      <c r="P298" s="9">
        <v>1</v>
      </c>
      <c r="Q298" s="9"/>
      <c r="R298" s="9"/>
      <c r="S298" s="9" t="s">
        <v>1569</v>
      </c>
    </row>
    <row r="299" spans="1:19">
      <c r="A299" s="9" t="s">
        <v>29</v>
      </c>
      <c r="B299" s="9" t="s">
        <v>1561</v>
      </c>
      <c r="C299" s="9" t="s">
        <v>30</v>
      </c>
      <c r="D299" s="9" t="s">
        <v>1727</v>
      </c>
      <c r="E299" s="9" t="s">
        <v>1728</v>
      </c>
      <c r="F299" s="9" t="s">
        <v>1729</v>
      </c>
      <c r="G299" s="9" t="s">
        <v>1728</v>
      </c>
      <c r="H299" s="9" t="s">
        <v>1730</v>
      </c>
      <c r="I299" s="9">
        <v>2018</v>
      </c>
      <c r="J299" s="9" t="s">
        <v>130</v>
      </c>
      <c r="K299" s="9" t="s">
        <v>1731</v>
      </c>
      <c r="L299" s="9" t="s">
        <v>1732</v>
      </c>
      <c r="M299" s="9" t="s">
        <v>1726</v>
      </c>
      <c r="N299" s="9" t="s">
        <v>1726</v>
      </c>
      <c r="O299" s="9" t="s">
        <v>113</v>
      </c>
      <c r="P299" s="9">
        <v>1</v>
      </c>
      <c r="Q299" s="9"/>
      <c r="R299" s="9"/>
      <c r="S299" s="9" t="s">
        <v>1569</v>
      </c>
    </row>
    <row r="300" spans="1:19">
      <c r="A300" s="9" t="s">
        <v>29</v>
      </c>
      <c r="B300" s="9" t="s">
        <v>1561</v>
      </c>
      <c r="C300" s="9" t="s">
        <v>30</v>
      </c>
      <c r="D300" s="9" t="s">
        <v>1733</v>
      </c>
      <c r="E300" s="9" t="s">
        <v>1734</v>
      </c>
      <c r="F300" s="9" t="s">
        <v>1564</v>
      </c>
      <c r="G300" s="9" t="s">
        <v>1734</v>
      </c>
      <c r="H300" s="9" t="s">
        <v>1565</v>
      </c>
      <c r="I300" s="9">
        <v>2025</v>
      </c>
      <c r="J300" s="9" t="s">
        <v>130</v>
      </c>
      <c r="K300" s="9" t="s">
        <v>1735</v>
      </c>
      <c r="L300" s="9" t="s">
        <v>1736</v>
      </c>
      <c r="M300" s="9" t="s">
        <v>1568</v>
      </c>
      <c r="N300" s="9" t="s">
        <v>1568</v>
      </c>
      <c r="O300" s="9" t="s">
        <v>113</v>
      </c>
      <c r="P300" s="9">
        <v>1</v>
      </c>
      <c r="Q300" s="9"/>
      <c r="R300" s="9"/>
      <c r="S300" s="9" t="s">
        <v>1569</v>
      </c>
    </row>
    <row r="301" spans="1:19">
      <c r="A301" s="9" t="s">
        <v>29</v>
      </c>
      <c r="B301" s="9" t="s">
        <v>1561</v>
      </c>
      <c r="C301" s="9" t="s">
        <v>30</v>
      </c>
      <c r="D301" s="9" t="s">
        <v>1737</v>
      </c>
      <c r="E301" s="9" t="s">
        <v>1738</v>
      </c>
      <c r="F301" s="9" t="s">
        <v>1739</v>
      </c>
      <c r="G301" s="9" t="s">
        <v>1738</v>
      </c>
      <c r="H301" s="9" t="s">
        <v>1565</v>
      </c>
      <c r="I301" s="9">
        <v>2025</v>
      </c>
      <c r="J301" s="9" t="s">
        <v>130</v>
      </c>
      <c r="K301" s="9" t="s">
        <v>1740</v>
      </c>
      <c r="L301" s="9" t="s">
        <v>1741</v>
      </c>
      <c r="M301" s="9" t="s">
        <v>1568</v>
      </c>
      <c r="N301" s="9" t="s">
        <v>1568</v>
      </c>
      <c r="O301" s="9" t="s">
        <v>113</v>
      </c>
      <c r="P301" s="9">
        <v>1</v>
      </c>
      <c r="Q301" s="9"/>
      <c r="R301" s="9"/>
      <c r="S301" s="9" t="s">
        <v>1569</v>
      </c>
    </row>
    <row r="302" spans="1:19">
      <c r="A302" s="9" t="s">
        <v>29</v>
      </c>
      <c r="B302" s="9" t="s">
        <v>1561</v>
      </c>
      <c r="C302" s="9" t="s">
        <v>30</v>
      </c>
      <c r="D302" s="9" t="s">
        <v>1742</v>
      </c>
      <c r="E302" s="9" t="s">
        <v>1743</v>
      </c>
      <c r="F302" s="9" t="s">
        <v>1386</v>
      </c>
      <c r="G302" s="9" t="s">
        <v>1744</v>
      </c>
      <c r="H302" s="9" t="s">
        <v>1492</v>
      </c>
      <c r="I302" s="9">
        <v>2026</v>
      </c>
      <c r="J302" s="9" t="s">
        <v>158</v>
      </c>
      <c r="K302" s="9" t="s">
        <v>1745</v>
      </c>
      <c r="L302" s="9" t="s">
        <v>1746</v>
      </c>
      <c r="M302" s="9" t="s">
        <v>1576</v>
      </c>
      <c r="N302" s="9" t="s">
        <v>1576</v>
      </c>
      <c r="O302" s="9" t="s">
        <v>113</v>
      </c>
      <c r="P302" s="9">
        <v>1</v>
      </c>
      <c r="Q302" s="9"/>
      <c r="R302" s="9"/>
      <c r="S302" s="9" t="s">
        <v>1569</v>
      </c>
    </row>
    <row r="303" spans="1:19">
      <c r="A303" s="9" t="s">
        <v>29</v>
      </c>
      <c r="B303" s="9" t="s">
        <v>1561</v>
      </c>
      <c r="C303" s="9" t="s">
        <v>30</v>
      </c>
      <c r="D303" s="9" t="s">
        <v>1747</v>
      </c>
      <c r="E303" s="9" t="s">
        <v>1748</v>
      </c>
      <c r="F303" s="9" t="s">
        <v>1749</v>
      </c>
      <c r="G303" s="9" t="s">
        <v>1748</v>
      </c>
      <c r="H303" s="9" t="s">
        <v>1750</v>
      </c>
      <c r="I303" s="9">
        <v>2018</v>
      </c>
      <c r="J303" s="9" t="s">
        <v>130</v>
      </c>
      <c r="K303" s="9" t="s">
        <v>1751</v>
      </c>
      <c r="L303" s="9" t="s">
        <v>1752</v>
      </c>
      <c r="M303" s="9" t="s">
        <v>1726</v>
      </c>
      <c r="N303" s="9" t="s">
        <v>1726</v>
      </c>
      <c r="O303" s="9" t="s">
        <v>113</v>
      </c>
      <c r="P303" s="9">
        <v>1</v>
      </c>
      <c r="Q303" s="9"/>
      <c r="R303" s="9"/>
      <c r="S303" s="9" t="s">
        <v>1569</v>
      </c>
    </row>
    <row r="304" spans="1:19">
      <c r="A304" s="9" t="s">
        <v>29</v>
      </c>
      <c r="B304" s="9" t="s">
        <v>1561</v>
      </c>
      <c r="C304" s="9" t="s">
        <v>30</v>
      </c>
      <c r="D304" s="9" t="s">
        <v>1753</v>
      </c>
      <c r="E304" s="9" t="s">
        <v>1754</v>
      </c>
      <c r="F304" s="9" t="s">
        <v>1755</v>
      </c>
      <c r="G304" s="9" t="s">
        <v>1754</v>
      </c>
      <c r="H304" s="9" t="s">
        <v>1756</v>
      </c>
      <c r="I304" s="9">
        <v>2019</v>
      </c>
      <c r="J304" s="9" t="s">
        <v>130</v>
      </c>
      <c r="K304" s="9" t="s">
        <v>1757</v>
      </c>
      <c r="L304" s="9" t="s">
        <v>1758</v>
      </c>
      <c r="M304" s="9" t="s">
        <v>1759</v>
      </c>
      <c r="N304" s="9" t="s">
        <v>1759</v>
      </c>
      <c r="O304" s="9" t="s">
        <v>113</v>
      </c>
      <c r="P304" s="9">
        <v>1</v>
      </c>
      <c r="Q304" s="9"/>
      <c r="R304" s="9"/>
      <c r="S304" s="9" t="s">
        <v>1569</v>
      </c>
    </row>
    <row r="305" spans="1:19">
      <c r="A305" s="9" t="s">
        <v>29</v>
      </c>
      <c r="B305" s="9" t="s">
        <v>1561</v>
      </c>
      <c r="C305" s="9" t="s">
        <v>30</v>
      </c>
      <c r="D305" s="9" t="s">
        <v>1760</v>
      </c>
      <c r="E305" s="9" t="s">
        <v>1761</v>
      </c>
      <c r="F305" s="9" t="s">
        <v>1762</v>
      </c>
      <c r="G305" s="9" t="s">
        <v>1763</v>
      </c>
      <c r="H305" s="9" t="s">
        <v>1764</v>
      </c>
      <c r="I305" s="9">
        <v>2018</v>
      </c>
      <c r="J305" s="9" t="s">
        <v>158</v>
      </c>
      <c r="K305" s="9" t="s">
        <v>1765</v>
      </c>
      <c r="L305" s="9" t="s">
        <v>1766</v>
      </c>
      <c r="M305" s="9" t="s">
        <v>1767</v>
      </c>
      <c r="N305" s="9" t="s">
        <v>1767</v>
      </c>
      <c r="O305" s="9" t="s">
        <v>113</v>
      </c>
      <c r="P305" s="9">
        <v>1</v>
      </c>
      <c r="Q305" s="9"/>
      <c r="R305" s="9"/>
      <c r="S305" s="9" t="s">
        <v>1569</v>
      </c>
    </row>
    <row r="306" spans="1:19">
      <c r="A306" s="9" t="s">
        <v>29</v>
      </c>
      <c r="B306" s="9" t="s">
        <v>1561</v>
      </c>
      <c r="C306" s="9" t="s">
        <v>30</v>
      </c>
      <c r="D306" s="9" t="s">
        <v>1768</v>
      </c>
      <c r="E306" s="9" t="s">
        <v>1769</v>
      </c>
      <c r="F306" s="9" t="s">
        <v>1604</v>
      </c>
      <c r="G306" s="9" t="s">
        <v>1770</v>
      </c>
      <c r="H306" s="9" t="s">
        <v>1673</v>
      </c>
      <c r="I306" s="9">
        <v>2025</v>
      </c>
      <c r="J306" s="9" t="s">
        <v>158</v>
      </c>
      <c r="K306" s="9" t="s">
        <v>1771</v>
      </c>
      <c r="L306" s="9" t="s">
        <v>1772</v>
      </c>
      <c r="M306" s="9" t="s">
        <v>1576</v>
      </c>
      <c r="N306" s="9" t="s">
        <v>1576</v>
      </c>
      <c r="O306" s="9" t="s">
        <v>113</v>
      </c>
      <c r="P306" s="9">
        <v>1</v>
      </c>
      <c r="Q306" s="9"/>
      <c r="R306" s="9"/>
      <c r="S306" s="9" t="s">
        <v>1569</v>
      </c>
    </row>
    <row r="307" spans="1:19">
      <c r="A307" s="9" t="s">
        <v>29</v>
      </c>
      <c r="B307" s="9" t="s">
        <v>1561</v>
      </c>
      <c r="C307" s="9" t="s">
        <v>30</v>
      </c>
      <c r="D307" s="9" t="s">
        <v>1773</v>
      </c>
      <c r="E307" s="9" t="s">
        <v>1774</v>
      </c>
      <c r="F307" s="9" t="s">
        <v>1604</v>
      </c>
      <c r="G307" s="9" t="s">
        <v>1775</v>
      </c>
      <c r="H307" s="9" t="s">
        <v>1224</v>
      </c>
      <c r="I307" s="9">
        <v>2025</v>
      </c>
      <c r="J307" s="9" t="s">
        <v>158</v>
      </c>
      <c r="K307" s="9" t="s">
        <v>1776</v>
      </c>
      <c r="L307" s="9" t="s">
        <v>1777</v>
      </c>
      <c r="M307" s="9" t="s">
        <v>1576</v>
      </c>
      <c r="N307" s="9" t="s">
        <v>1576</v>
      </c>
      <c r="O307" s="9" t="s">
        <v>113</v>
      </c>
      <c r="P307" s="9">
        <v>1</v>
      </c>
      <c r="Q307" s="9"/>
      <c r="R307" s="9"/>
      <c r="S307" s="9" t="s">
        <v>1569</v>
      </c>
    </row>
    <row r="308" spans="1:19">
      <c r="A308" s="9" t="s">
        <v>29</v>
      </c>
      <c r="B308" s="9" t="s">
        <v>1561</v>
      </c>
      <c r="C308" s="9" t="s">
        <v>30</v>
      </c>
      <c r="D308" s="9" t="s">
        <v>1778</v>
      </c>
      <c r="E308" s="9" t="s">
        <v>1779</v>
      </c>
      <c r="F308" s="9" t="s">
        <v>1604</v>
      </c>
      <c r="G308" s="9" t="s">
        <v>1780</v>
      </c>
      <c r="H308" s="9" t="s">
        <v>1168</v>
      </c>
      <c r="I308" s="9">
        <v>2025</v>
      </c>
      <c r="J308" s="9" t="s">
        <v>158</v>
      </c>
      <c r="K308" s="9" t="s">
        <v>1781</v>
      </c>
      <c r="L308" s="9" t="s">
        <v>1782</v>
      </c>
      <c r="M308" s="9" t="s">
        <v>1576</v>
      </c>
      <c r="N308" s="9" t="s">
        <v>1576</v>
      </c>
      <c r="O308" s="9" t="s">
        <v>113</v>
      </c>
      <c r="P308" s="9">
        <v>1</v>
      </c>
      <c r="Q308" s="9"/>
      <c r="R308" s="9"/>
      <c r="S308" s="9" t="s">
        <v>1569</v>
      </c>
    </row>
    <row r="309" spans="1:19">
      <c r="A309" s="9" t="s">
        <v>29</v>
      </c>
      <c r="B309" s="9" t="s">
        <v>1561</v>
      </c>
      <c r="C309" s="9" t="s">
        <v>30</v>
      </c>
      <c r="D309" s="9" t="s">
        <v>1783</v>
      </c>
      <c r="E309" s="9" t="s">
        <v>1784</v>
      </c>
      <c r="F309" s="9" t="s">
        <v>1785</v>
      </c>
      <c r="G309" s="9" t="s">
        <v>1784</v>
      </c>
      <c r="H309" s="9" t="s">
        <v>1786</v>
      </c>
      <c r="I309" s="9">
        <v>2018</v>
      </c>
      <c r="J309" s="9" t="s">
        <v>130</v>
      </c>
      <c r="K309" s="9" t="s">
        <v>1787</v>
      </c>
      <c r="L309" s="9" t="s">
        <v>1788</v>
      </c>
      <c r="M309" s="9" t="s">
        <v>1726</v>
      </c>
      <c r="N309" s="9" t="s">
        <v>1726</v>
      </c>
      <c r="O309" s="9" t="s">
        <v>113</v>
      </c>
      <c r="P309" s="9">
        <v>1</v>
      </c>
      <c r="Q309" s="9"/>
      <c r="R309" s="9"/>
      <c r="S309" s="9" t="s">
        <v>1569</v>
      </c>
    </row>
    <row r="310" spans="1:19">
      <c r="A310" s="9" t="s">
        <v>29</v>
      </c>
      <c r="B310" s="9" t="s">
        <v>1561</v>
      </c>
      <c r="C310" s="9" t="s">
        <v>30</v>
      </c>
      <c r="D310" s="9" t="s">
        <v>1789</v>
      </c>
      <c r="E310" s="9" t="s">
        <v>1790</v>
      </c>
      <c r="F310" s="9" t="s">
        <v>1791</v>
      </c>
      <c r="G310" s="9" t="s">
        <v>1790</v>
      </c>
      <c r="H310" s="9" t="s">
        <v>1792</v>
      </c>
      <c r="I310" s="9">
        <v>2019</v>
      </c>
      <c r="J310" s="9" t="s">
        <v>130</v>
      </c>
      <c r="K310" s="9" t="s">
        <v>1793</v>
      </c>
      <c r="L310" s="9" t="s">
        <v>1794</v>
      </c>
      <c r="M310" s="9" t="s">
        <v>1759</v>
      </c>
      <c r="N310" s="9" t="s">
        <v>1759</v>
      </c>
      <c r="O310" s="9" t="s">
        <v>113</v>
      </c>
      <c r="P310" s="9">
        <v>1</v>
      </c>
      <c r="Q310" s="9"/>
      <c r="R310" s="9"/>
      <c r="S310" s="9" t="s">
        <v>1569</v>
      </c>
    </row>
    <row r="311" spans="1:19">
      <c r="A311" s="9" t="s">
        <v>29</v>
      </c>
      <c r="B311" s="9" t="s">
        <v>1561</v>
      </c>
      <c r="C311" s="9" t="s">
        <v>30</v>
      </c>
      <c r="D311" s="9" t="s">
        <v>1795</v>
      </c>
      <c r="E311" s="9" t="s">
        <v>1796</v>
      </c>
      <c r="F311" s="9" t="s">
        <v>1797</v>
      </c>
      <c r="G311" s="9" t="s">
        <v>1796</v>
      </c>
      <c r="H311" s="9" t="s">
        <v>1798</v>
      </c>
      <c r="I311" s="9">
        <v>2020</v>
      </c>
      <c r="J311" s="9" t="s">
        <v>130</v>
      </c>
      <c r="K311" s="9" t="s">
        <v>1799</v>
      </c>
      <c r="L311" s="9" t="s">
        <v>1800</v>
      </c>
      <c r="M311" s="9" t="s">
        <v>1759</v>
      </c>
      <c r="N311" s="9" t="s">
        <v>1759</v>
      </c>
      <c r="O311" s="9" t="s">
        <v>113</v>
      </c>
      <c r="P311" s="9">
        <v>1</v>
      </c>
      <c r="Q311" s="9"/>
      <c r="R311" s="9"/>
      <c r="S311" s="9" t="s">
        <v>1569</v>
      </c>
    </row>
    <row r="312" spans="1:19">
      <c r="A312" s="9" t="s">
        <v>29</v>
      </c>
      <c r="B312" s="9" t="s">
        <v>1561</v>
      </c>
      <c r="C312" s="9" t="s">
        <v>30</v>
      </c>
      <c r="D312" s="9" t="s">
        <v>1801</v>
      </c>
      <c r="E312" s="9" t="s">
        <v>1802</v>
      </c>
      <c r="F312" s="9" t="s">
        <v>1803</v>
      </c>
      <c r="G312" s="9" t="s">
        <v>1802</v>
      </c>
      <c r="H312" s="9" t="s">
        <v>1804</v>
      </c>
      <c r="I312" s="9">
        <v>2018</v>
      </c>
      <c r="J312" s="9" t="s">
        <v>130</v>
      </c>
      <c r="K312" s="9" t="s">
        <v>1805</v>
      </c>
      <c r="L312" s="9" t="s">
        <v>1806</v>
      </c>
      <c r="M312" s="9" t="s">
        <v>1726</v>
      </c>
      <c r="N312" s="9" t="s">
        <v>1726</v>
      </c>
      <c r="O312" s="9" t="s">
        <v>113</v>
      </c>
      <c r="P312" s="9">
        <v>1</v>
      </c>
      <c r="Q312" s="9"/>
      <c r="R312" s="9"/>
      <c r="S312" s="9" t="s">
        <v>1569</v>
      </c>
    </row>
    <row r="313" spans="1:19">
      <c r="A313" s="9" t="s">
        <v>29</v>
      </c>
      <c r="B313" s="9" t="s">
        <v>1561</v>
      </c>
      <c r="C313" s="9" t="s">
        <v>30</v>
      </c>
      <c r="D313" s="9" t="s">
        <v>1807</v>
      </c>
      <c r="E313" s="9" t="s">
        <v>1808</v>
      </c>
      <c r="F313" s="9" t="s">
        <v>1809</v>
      </c>
      <c r="G313" s="9" t="s">
        <v>1808</v>
      </c>
      <c r="H313" s="9" t="s">
        <v>1810</v>
      </c>
      <c r="I313" s="9">
        <v>2022</v>
      </c>
      <c r="J313" s="9" t="s">
        <v>130</v>
      </c>
      <c r="K313" s="9" t="s">
        <v>1811</v>
      </c>
      <c r="L313" s="9" t="s">
        <v>1812</v>
      </c>
      <c r="M313" s="9" t="s">
        <v>1767</v>
      </c>
      <c r="N313" s="9" t="s">
        <v>1767</v>
      </c>
      <c r="O313" s="9" t="s">
        <v>113</v>
      </c>
      <c r="P313" s="9">
        <v>1</v>
      </c>
      <c r="Q313" s="9"/>
      <c r="R313" s="9"/>
      <c r="S313" s="9" t="s">
        <v>1569</v>
      </c>
    </row>
    <row r="314" spans="1:19">
      <c r="A314" s="9" t="s">
        <v>29</v>
      </c>
      <c r="B314" s="9" t="s">
        <v>1561</v>
      </c>
      <c r="C314" s="9" t="s">
        <v>30</v>
      </c>
      <c r="D314" s="9" t="s">
        <v>1813</v>
      </c>
      <c r="E314" s="9" t="s">
        <v>1814</v>
      </c>
      <c r="F314" s="9" t="s">
        <v>1815</v>
      </c>
      <c r="G314" s="9" t="s">
        <v>1814</v>
      </c>
      <c r="H314" s="9" t="s">
        <v>1816</v>
      </c>
      <c r="I314" s="9">
        <v>2017</v>
      </c>
      <c r="J314" s="9" t="s">
        <v>130</v>
      </c>
      <c r="K314" s="9" t="s">
        <v>1817</v>
      </c>
      <c r="L314" s="9" t="s">
        <v>1818</v>
      </c>
      <c r="M314" s="9" t="s">
        <v>1819</v>
      </c>
      <c r="N314" s="9" t="s">
        <v>1819</v>
      </c>
      <c r="O314" s="9" t="s">
        <v>113</v>
      </c>
      <c r="P314" s="9">
        <v>1</v>
      </c>
      <c r="Q314" s="9"/>
      <c r="R314" s="9"/>
      <c r="S314" s="9" t="s">
        <v>1569</v>
      </c>
    </row>
    <row r="315" spans="1:19">
      <c r="A315" s="9" t="s">
        <v>29</v>
      </c>
      <c r="B315" s="9" t="s">
        <v>1561</v>
      </c>
      <c r="C315" s="9" t="s">
        <v>30</v>
      </c>
      <c r="D315" s="9" t="s">
        <v>1820</v>
      </c>
      <c r="E315" s="9" t="s">
        <v>1821</v>
      </c>
      <c r="F315" s="9" t="s">
        <v>1822</v>
      </c>
      <c r="G315" s="9" t="s">
        <v>1821</v>
      </c>
      <c r="H315" s="9" t="s">
        <v>1823</v>
      </c>
      <c r="I315" s="9">
        <v>2020</v>
      </c>
      <c r="J315" s="9" t="s">
        <v>130</v>
      </c>
      <c r="K315" s="9" t="s">
        <v>1824</v>
      </c>
      <c r="L315" s="9" t="s">
        <v>1825</v>
      </c>
      <c r="M315" s="9" t="s">
        <v>1767</v>
      </c>
      <c r="N315" s="9" t="s">
        <v>1767</v>
      </c>
      <c r="O315" s="9" t="s">
        <v>113</v>
      </c>
      <c r="P315" s="9">
        <v>1</v>
      </c>
      <c r="Q315" s="9"/>
      <c r="R315" s="9"/>
      <c r="S315" s="9" t="s">
        <v>1569</v>
      </c>
    </row>
    <row r="316" spans="1:19">
      <c r="A316" s="9" t="s">
        <v>29</v>
      </c>
      <c r="B316" s="9" t="s">
        <v>1561</v>
      </c>
      <c r="C316" s="9" t="s">
        <v>30</v>
      </c>
      <c r="D316" s="9" t="s">
        <v>1826</v>
      </c>
      <c r="E316" s="9" t="s">
        <v>1827</v>
      </c>
      <c r="F316" s="9" t="s">
        <v>1828</v>
      </c>
      <c r="G316" s="9" t="s">
        <v>1827</v>
      </c>
      <c r="H316" s="9" t="s">
        <v>1829</v>
      </c>
      <c r="I316" s="9">
        <v>2022</v>
      </c>
      <c r="J316" s="9" t="s">
        <v>130</v>
      </c>
      <c r="K316" s="9" t="s">
        <v>1830</v>
      </c>
      <c r="L316" s="9" t="s">
        <v>1831</v>
      </c>
      <c r="M316" s="9" t="s">
        <v>1767</v>
      </c>
      <c r="N316" s="9" t="s">
        <v>1767</v>
      </c>
      <c r="O316" s="9" t="s">
        <v>113</v>
      </c>
      <c r="P316" s="9">
        <v>1</v>
      </c>
      <c r="Q316" s="9"/>
      <c r="R316" s="9"/>
      <c r="S316" s="9" t="s">
        <v>1569</v>
      </c>
    </row>
    <row r="317" spans="1:19">
      <c r="A317" s="9" t="s">
        <v>29</v>
      </c>
      <c r="B317" s="9" t="s">
        <v>1561</v>
      </c>
      <c r="C317" s="9" t="s">
        <v>30</v>
      </c>
      <c r="D317" s="9" t="s">
        <v>1832</v>
      </c>
      <c r="E317" s="9" t="s">
        <v>1833</v>
      </c>
      <c r="F317" s="9" t="s">
        <v>1834</v>
      </c>
      <c r="G317" s="9" t="s">
        <v>1833</v>
      </c>
      <c r="H317" s="9" t="s">
        <v>373</v>
      </c>
      <c r="I317" s="9">
        <v>2022</v>
      </c>
      <c r="J317" s="9" t="s">
        <v>130</v>
      </c>
      <c r="K317" s="9" t="s">
        <v>1835</v>
      </c>
      <c r="L317" s="9" t="s">
        <v>1836</v>
      </c>
      <c r="M317" s="9" t="s">
        <v>1767</v>
      </c>
      <c r="N317" s="9" t="s">
        <v>1767</v>
      </c>
      <c r="O317" s="9" t="s">
        <v>113</v>
      </c>
      <c r="P317" s="9">
        <v>1</v>
      </c>
      <c r="Q317" s="9"/>
      <c r="R317" s="9"/>
      <c r="S317" s="9" t="s">
        <v>1569</v>
      </c>
    </row>
    <row r="318" spans="1:19">
      <c r="A318" s="9" t="s">
        <v>29</v>
      </c>
      <c r="B318" s="9" t="s">
        <v>1561</v>
      </c>
      <c r="C318" s="9" t="s">
        <v>30</v>
      </c>
      <c r="D318" s="9" t="s">
        <v>1837</v>
      </c>
      <c r="E318" s="9" t="s">
        <v>1838</v>
      </c>
      <c r="F318" s="9" t="s">
        <v>1839</v>
      </c>
      <c r="G318" s="9" t="s">
        <v>1838</v>
      </c>
      <c r="H318" s="9" t="s">
        <v>1810</v>
      </c>
      <c r="I318" s="9">
        <v>2022</v>
      </c>
      <c r="J318" s="9" t="s">
        <v>130</v>
      </c>
      <c r="K318" s="9" t="s">
        <v>1840</v>
      </c>
      <c r="L318" s="9" t="s">
        <v>1841</v>
      </c>
      <c r="M318" s="9" t="s">
        <v>1767</v>
      </c>
      <c r="N318" s="9" t="s">
        <v>1767</v>
      </c>
      <c r="O318" s="9" t="s">
        <v>113</v>
      </c>
      <c r="P318" s="9">
        <v>1</v>
      </c>
      <c r="Q318" s="9"/>
      <c r="R318" s="9"/>
      <c r="S318" s="9" t="s">
        <v>1569</v>
      </c>
    </row>
    <row r="319" spans="1:19">
      <c r="A319" s="9" t="s">
        <v>29</v>
      </c>
      <c r="B319" s="9" t="s">
        <v>1561</v>
      </c>
      <c r="C319" s="9" t="s">
        <v>30</v>
      </c>
      <c r="D319" s="9" t="s">
        <v>1842</v>
      </c>
      <c r="E319" s="9" t="s">
        <v>1843</v>
      </c>
      <c r="F319" s="9" t="s">
        <v>1844</v>
      </c>
      <c r="G319" s="9" t="s">
        <v>1843</v>
      </c>
      <c r="H319" s="9" t="s">
        <v>1845</v>
      </c>
      <c r="I319" s="9">
        <v>2019</v>
      </c>
      <c r="J319" s="9" t="s">
        <v>130</v>
      </c>
      <c r="K319" s="9" t="s">
        <v>1846</v>
      </c>
      <c r="L319" s="9" t="s">
        <v>1847</v>
      </c>
      <c r="M319" s="9" t="s">
        <v>1759</v>
      </c>
      <c r="N319" s="9" t="s">
        <v>1759</v>
      </c>
      <c r="O319" s="9" t="s">
        <v>113</v>
      </c>
      <c r="P319" s="9">
        <v>1</v>
      </c>
      <c r="Q319" s="9"/>
      <c r="R319" s="9"/>
      <c r="S319" s="9" t="s">
        <v>1569</v>
      </c>
    </row>
    <row r="320" spans="1:19">
      <c r="A320" s="9" t="s">
        <v>29</v>
      </c>
      <c r="B320" s="9" t="s">
        <v>1561</v>
      </c>
      <c r="C320" s="9" t="s">
        <v>30</v>
      </c>
      <c r="D320" s="9" t="s">
        <v>1848</v>
      </c>
      <c r="E320" s="9" t="s">
        <v>1849</v>
      </c>
      <c r="F320" s="9" t="s">
        <v>1850</v>
      </c>
      <c r="G320" s="9" t="s">
        <v>1849</v>
      </c>
      <c r="H320" s="9" t="s">
        <v>1851</v>
      </c>
      <c r="I320" s="9">
        <v>2019</v>
      </c>
      <c r="J320" s="9" t="s">
        <v>130</v>
      </c>
      <c r="K320" s="9" t="s">
        <v>1852</v>
      </c>
      <c r="L320" s="9" t="s">
        <v>1853</v>
      </c>
      <c r="M320" s="9" t="s">
        <v>1767</v>
      </c>
      <c r="N320" s="9" t="s">
        <v>1767</v>
      </c>
      <c r="O320" s="9" t="s">
        <v>113</v>
      </c>
      <c r="P320" s="9">
        <v>1</v>
      </c>
      <c r="Q320" s="9"/>
      <c r="R320" s="9"/>
      <c r="S320" s="9" t="s">
        <v>1569</v>
      </c>
    </row>
    <row r="321" spans="1:19">
      <c r="A321" s="9" t="s">
        <v>29</v>
      </c>
      <c r="B321" s="9" t="s">
        <v>1561</v>
      </c>
      <c r="C321" s="9" t="s">
        <v>30</v>
      </c>
      <c r="D321" s="9" t="s">
        <v>1854</v>
      </c>
      <c r="E321" s="9" t="s">
        <v>1855</v>
      </c>
      <c r="F321" s="9" t="s">
        <v>1856</v>
      </c>
      <c r="G321" s="9" t="s">
        <v>1855</v>
      </c>
      <c r="H321" s="9" t="s">
        <v>1857</v>
      </c>
      <c r="I321" s="9">
        <v>2019</v>
      </c>
      <c r="J321" s="9" t="s">
        <v>130</v>
      </c>
      <c r="K321" s="9" t="s">
        <v>1858</v>
      </c>
      <c r="L321" s="9" t="s">
        <v>1859</v>
      </c>
      <c r="M321" s="9" t="s">
        <v>1767</v>
      </c>
      <c r="N321" s="9" t="s">
        <v>1767</v>
      </c>
      <c r="O321" s="9" t="s">
        <v>113</v>
      </c>
      <c r="P321" s="9">
        <v>1</v>
      </c>
      <c r="Q321" s="9"/>
      <c r="R321" s="9"/>
      <c r="S321" s="9" t="s">
        <v>1569</v>
      </c>
    </row>
    <row r="322" spans="1:19">
      <c r="A322" s="9" t="s">
        <v>29</v>
      </c>
      <c r="B322" s="9" t="s">
        <v>1561</v>
      </c>
      <c r="C322" s="9" t="s">
        <v>30</v>
      </c>
      <c r="D322" s="9" t="s">
        <v>1860</v>
      </c>
      <c r="E322" s="9" t="s">
        <v>1861</v>
      </c>
      <c r="F322" s="9" t="s">
        <v>1862</v>
      </c>
      <c r="G322" s="9" t="s">
        <v>1861</v>
      </c>
      <c r="H322" s="9" t="s">
        <v>1863</v>
      </c>
      <c r="I322" s="9">
        <v>2020</v>
      </c>
      <c r="J322" s="9" t="s">
        <v>130</v>
      </c>
      <c r="K322" s="9" t="s">
        <v>1864</v>
      </c>
      <c r="L322" s="9" t="s">
        <v>1865</v>
      </c>
      <c r="M322" s="9" t="s">
        <v>1759</v>
      </c>
      <c r="N322" s="9" t="s">
        <v>1759</v>
      </c>
      <c r="O322" s="9" t="s">
        <v>113</v>
      </c>
      <c r="P322" s="9">
        <v>1</v>
      </c>
      <c r="Q322" s="9"/>
      <c r="R322" s="9"/>
      <c r="S322" s="9" t="s">
        <v>1569</v>
      </c>
    </row>
    <row r="323" spans="1:19">
      <c r="A323" s="9" t="s">
        <v>29</v>
      </c>
      <c r="B323" s="9" t="s">
        <v>1561</v>
      </c>
      <c r="C323" s="9" t="s">
        <v>30</v>
      </c>
      <c r="D323" s="9" t="s">
        <v>1866</v>
      </c>
      <c r="E323" s="9" t="s">
        <v>1867</v>
      </c>
      <c r="F323" s="9" t="s">
        <v>1868</v>
      </c>
      <c r="G323" s="9" t="s">
        <v>1867</v>
      </c>
      <c r="H323" s="9" t="s">
        <v>1869</v>
      </c>
      <c r="I323" s="9">
        <v>2018</v>
      </c>
      <c r="J323" s="9" t="s">
        <v>130</v>
      </c>
      <c r="K323" s="9" t="s">
        <v>1870</v>
      </c>
      <c r="L323" s="9" t="s">
        <v>1871</v>
      </c>
      <c r="M323" s="9" t="s">
        <v>1726</v>
      </c>
      <c r="N323" s="9" t="s">
        <v>1726</v>
      </c>
      <c r="O323" s="9" t="s">
        <v>113</v>
      </c>
      <c r="P323" s="9">
        <v>1</v>
      </c>
      <c r="Q323" s="9"/>
      <c r="R323" s="9"/>
      <c r="S323" s="9" t="s">
        <v>1569</v>
      </c>
    </row>
    <row r="324" spans="1:19">
      <c r="A324" s="9" t="s">
        <v>29</v>
      </c>
      <c r="B324" s="9" t="s">
        <v>1561</v>
      </c>
      <c r="C324" s="9" t="s">
        <v>30</v>
      </c>
      <c r="D324" s="9" t="s">
        <v>1872</v>
      </c>
      <c r="E324" s="9" t="s">
        <v>1873</v>
      </c>
      <c r="F324" s="9" t="s">
        <v>1874</v>
      </c>
      <c r="G324" s="9" t="s">
        <v>1875</v>
      </c>
      <c r="H324" s="9" t="s">
        <v>1876</v>
      </c>
      <c r="I324" s="9">
        <v>2018</v>
      </c>
      <c r="J324" s="9" t="s">
        <v>158</v>
      </c>
      <c r="K324" s="9" t="s">
        <v>1877</v>
      </c>
      <c r="L324" s="9" t="s">
        <v>1878</v>
      </c>
      <c r="M324" s="9" t="s">
        <v>1767</v>
      </c>
      <c r="N324" s="9" t="s">
        <v>1767</v>
      </c>
      <c r="O324" s="9" t="s">
        <v>113</v>
      </c>
      <c r="P324" s="9">
        <v>1</v>
      </c>
      <c r="Q324" s="9"/>
      <c r="R324" s="9"/>
      <c r="S324" s="9" t="s">
        <v>1569</v>
      </c>
    </row>
    <row r="325" spans="1:19">
      <c r="A325" s="9" t="s">
        <v>29</v>
      </c>
      <c r="B325" s="9" t="s">
        <v>1561</v>
      </c>
      <c r="C325" s="9" t="s">
        <v>30</v>
      </c>
      <c r="D325" s="9" t="s">
        <v>1879</v>
      </c>
      <c r="E325" s="9" t="s">
        <v>1880</v>
      </c>
      <c r="F325" s="9" t="s">
        <v>1881</v>
      </c>
      <c r="G325" s="9" t="s">
        <v>1880</v>
      </c>
      <c r="H325" s="9" t="s">
        <v>1723</v>
      </c>
      <c r="I325" s="9">
        <v>2017</v>
      </c>
      <c r="J325" s="9" t="s">
        <v>130</v>
      </c>
      <c r="K325" s="9" t="s">
        <v>1882</v>
      </c>
      <c r="L325" s="9" t="s">
        <v>1883</v>
      </c>
      <c r="M325" s="9" t="s">
        <v>1726</v>
      </c>
      <c r="N325" s="9" t="s">
        <v>1726</v>
      </c>
      <c r="O325" s="9" t="s">
        <v>113</v>
      </c>
      <c r="P325" s="9">
        <v>1</v>
      </c>
      <c r="Q325" s="9"/>
      <c r="R325" s="9"/>
      <c r="S325" s="9" t="s">
        <v>1569</v>
      </c>
    </row>
    <row r="326" spans="1:19">
      <c r="A326" s="9" t="s">
        <v>29</v>
      </c>
      <c r="B326" s="9" t="s">
        <v>1561</v>
      </c>
      <c r="C326" s="9" t="s">
        <v>30</v>
      </c>
      <c r="D326" s="9" t="s">
        <v>1884</v>
      </c>
      <c r="E326" s="9" t="s">
        <v>1885</v>
      </c>
      <c r="F326" s="9" t="s">
        <v>1886</v>
      </c>
      <c r="G326" s="9" t="s">
        <v>1885</v>
      </c>
      <c r="H326" s="9" t="s">
        <v>1887</v>
      </c>
      <c r="I326" s="9">
        <v>2018</v>
      </c>
      <c r="J326" s="9" t="s">
        <v>130</v>
      </c>
      <c r="K326" s="9" t="s">
        <v>1888</v>
      </c>
      <c r="L326" s="9" t="s">
        <v>1889</v>
      </c>
      <c r="M326" s="9" t="s">
        <v>1890</v>
      </c>
      <c r="N326" s="9" t="s">
        <v>1890</v>
      </c>
      <c r="O326" s="9" t="s">
        <v>113</v>
      </c>
      <c r="P326" s="9">
        <v>1</v>
      </c>
      <c r="Q326" s="9"/>
      <c r="R326" s="9"/>
      <c r="S326" s="9" t="s">
        <v>1569</v>
      </c>
    </row>
    <row r="327" spans="1:19">
      <c r="A327" s="9" t="s">
        <v>29</v>
      </c>
      <c r="B327" s="9" t="s">
        <v>1561</v>
      </c>
      <c r="C327" s="9" t="s">
        <v>30</v>
      </c>
      <c r="D327" s="9" t="s">
        <v>1891</v>
      </c>
      <c r="E327" s="9" t="s">
        <v>1892</v>
      </c>
      <c r="F327" s="9" t="s">
        <v>1893</v>
      </c>
      <c r="G327" s="9" t="s">
        <v>1892</v>
      </c>
      <c r="H327" s="9" t="s">
        <v>1894</v>
      </c>
      <c r="I327" s="9">
        <v>2018</v>
      </c>
      <c r="J327" s="9" t="s">
        <v>130</v>
      </c>
      <c r="K327" s="9" t="s">
        <v>1895</v>
      </c>
      <c r="L327" s="9" t="s">
        <v>1896</v>
      </c>
      <c r="M327" s="9" t="s">
        <v>1726</v>
      </c>
      <c r="N327" s="9" t="s">
        <v>1726</v>
      </c>
      <c r="O327" s="9" t="s">
        <v>113</v>
      </c>
      <c r="P327" s="9">
        <v>1</v>
      </c>
      <c r="Q327" s="9"/>
      <c r="R327" s="9"/>
      <c r="S327" s="9" t="s">
        <v>1569</v>
      </c>
    </row>
    <row r="328" spans="1:19">
      <c r="A328" s="9" t="s">
        <v>29</v>
      </c>
      <c r="B328" s="9" t="s">
        <v>1561</v>
      </c>
      <c r="C328" s="9" t="s">
        <v>30</v>
      </c>
      <c r="D328" s="9" t="s">
        <v>1897</v>
      </c>
      <c r="E328" s="9" t="s">
        <v>1898</v>
      </c>
      <c r="F328" s="9" t="s">
        <v>1899</v>
      </c>
      <c r="G328" s="9" t="s">
        <v>1900</v>
      </c>
      <c r="H328" s="9" t="s">
        <v>1901</v>
      </c>
      <c r="I328" s="9">
        <v>2017</v>
      </c>
      <c r="J328" s="9" t="s">
        <v>158</v>
      </c>
      <c r="K328" s="9" t="s">
        <v>1902</v>
      </c>
      <c r="L328" s="9" t="s">
        <v>1903</v>
      </c>
      <c r="M328" s="9" t="s">
        <v>1767</v>
      </c>
      <c r="N328" s="9" t="s">
        <v>1767</v>
      </c>
      <c r="O328" s="9" t="s">
        <v>113</v>
      </c>
      <c r="P328" s="9">
        <v>1</v>
      </c>
      <c r="Q328" s="9"/>
      <c r="R328" s="9"/>
      <c r="S328" s="9" t="s">
        <v>1569</v>
      </c>
    </row>
    <row r="329" spans="1:19">
      <c r="A329" s="9" t="s">
        <v>29</v>
      </c>
      <c r="B329" s="9" t="s">
        <v>1561</v>
      </c>
      <c r="C329" s="9" t="s">
        <v>30</v>
      </c>
      <c r="D329" s="9" t="s">
        <v>1904</v>
      </c>
      <c r="E329" s="9" t="s">
        <v>1905</v>
      </c>
      <c r="F329" s="9" t="s">
        <v>1868</v>
      </c>
      <c r="G329" s="9" t="s">
        <v>1905</v>
      </c>
      <c r="H329" s="9" t="s">
        <v>1869</v>
      </c>
      <c r="I329" s="9">
        <v>2018</v>
      </c>
      <c r="J329" s="9" t="s">
        <v>130</v>
      </c>
      <c r="K329" s="9" t="s">
        <v>1906</v>
      </c>
      <c r="L329" s="9" t="s">
        <v>1907</v>
      </c>
      <c r="M329" s="9" t="s">
        <v>1726</v>
      </c>
      <c r="N329" s="9" t="s">
        <v>1726</v>
      </c>
      <c r="O329" s="9" t="s">
        <v>113</v>
      </c>
      <c r="P329" s="9">
        <v>1</v>
      </c>
      <c r="Q329" s="9"/>
      <c r="R329" s="9"/>
      <c r="S329" s="9" t="s">
        <v>1569</v>
      </c>
    </row>
    <row r="330" spans="1:19">
      <c r="A330" s="9" t="s">
        <v>29</v>
      </c>
      <c r="B330" s="9" t="s">
        <v>1561</v>
      </c>
      <c r="C330" s="9" t="s">
        <v>30</v>
      </c>
      <c r="D330" s="9" t="s">
        <v>1908</v>
      </c>
      <c r="E330" s="9" t="s">
        <v>1909</v>
      </c>
      <c r="F330" s="9" t="s">
        <v>1910</v>
      </c>
      <c r="G330" s="9" t="s">
        <v>1909</v>
      </c>
      <c r="H330" s="9" t="s">
        <v>1911</v>
      </c>
      <c r="I330" s="9">
        <v>2019</v>
      </c>
      <c r="J330" s="9" t="s">
        <v>130</v>
      </c>
      <c r="K330" s="9" t="s">
        <v>1912</v>
      </c>
      <c r="L330" s="9" t="s">
        <v>1913</v>
      </c>
      <c r="M330" s="9" t="s">
        <v>1759</v>
      </c>
      <c r="N330" s="9" t="s">
        <v>1759</v>
      </c>
      <c r="O330" s="9" t="s">
        <v>113</v>
      </c>
      <c r="P330" s="9">
        <v>1</v>
      </c>
      <c r="Q330" s="9"/>
      <c r="R330" s="9"/>
      <c r="S330" s="9" t="s">
        <v>1569</v>
      </c>
    </row>
    <row r="331" spans="1:19">
      <c r="A331" s="9" t="s">
        <v>29</v>
      </c>
      <c r="B331" s="9" t="s">
        <v>1561</v>
      </c>
      <c r="C331" s="9" t="s">
        <v>30</v>
      </c>
      <c r="D331" s="9" t="s">
        <v>1914</v>
      </c>
      <c r="E331" s="9" t="s">
        <v>1915</v>
      </c>
      <c r="F331" s="9" t="s">
        <v>1916</v>
      </c>
      <c r="G331" s="9" t="s">
        <v>1915</v>
      </c>
      <c r="H331" s="9" t="s">
        <v>1823</v>
      </c>
      <c r="I331" s="9">
        <v>2020</v>
      </c>
      <c r="J331" s="9" t="s">
        <v>130</v>
      </c>
      <c r="K331" s="9" t="s">
        <v>1917</v>
      </c>
      <c r="L331" s="9" t="s">
        <v>1918</v>
      </c>
      <c r="M331" s="9" t="s">
        <v>1759</v>
      </c>
      <c r="N331" s="9" t="s">
        <v>1759</v>
      </c>
      <c r="O331" s="9" t="s">
        <v>113</v>
      </c>
      <c r="P331" s="9">
        <v>1</v>
      </c>
      <c r="Q331" s="9"/>
      <c r="R331" s="9"/>
      <c r="S331" s="9" t="s">
        <v>1569</v>
      </c>
    </row>
    <row r="332" spans="1:19">
      <c r="A332" s="9" t="s">
        <v>29</v>
      </c>
      <c r="B332" s="9" t="s">
        <v>1561</v>
      </c>
      <c r="C332" s="9" t="s">
        <v>30</v>
      </c>
      <c r="D332" s="9" t="s">
        <v>1919</v>
      </c>
      <c r="E332" s="9" t="s">
        <v>1920</v>
      </c>
      <c r="F332" s="9" t="s">
        <v>1921</v>
      </c>
      <c r="G332" s="9" t="s">
        <v>1920</v>
      </c>
      <c r="H332" s="9" t="s">
        <v>1922</v>
      </c>
      <c r="I332" s="9">
        <v>2022</v>
      </c>
      <c r="J332" s="9" t="s">
        <v>130</v>
      </c>
      <c r="K332" s="9" t="s">
        <v>1923</v>
      </c>
      <c r="L332" s="9" t="s">
        <v>1924</v>
      </c>
      <c r="M332" s="9" t="s">
        <v>1767</v>
      </c>
      <c r="N332" s="9" t="s">
        <v>1767</v>
      </c>
      <c r="O332" s="9" t="s">
        <v>113</v>
      </c>
      <c r="P332" s="9">
        <v>1</v>
      </c>
      <c r="Q332" s="9"/>
      <c r="R332" s="9"/>
      <c r="S332" s="9" t="s">
        <v>1569</v>
      </c>
    </row>
    <row r="333" spans="1:19">
      <c r="A333" s="9" t="s">
        <v>29</v>
      </c>
      <c r="B333" s="9" t="s">
        <v>1561</v>
      </c>
      <c r="C333" s="9" t="s">
        <v>30</v>
      </c>
      <c r="D333" s="9" t="s">
        <v>1925</v>
      </c>
      <c r="E333" s="9" t="s">
        <v>1926</v>
      </c>
      <c r="F333" s="9" t="s">
        <v>1874</v>
      </c>
      <c r="G333" s="9" t="s">
        <v>1927</v>
      </c>
      <c r="H333" s="9" t="s">
        <v>1876</v>
      </c>
      <c r="I333" s="9">
        <v>2018</v>
      </c>
      <c r="J333" s="9" t="s">
        <v>158</v>
      </c>
      <c r="K333" s="9" t="s">
        <v>1928</v>
      </c>
      <c r="L333" s="9" t="s">
        <v>1929</v>
      </c>
      <c r="M333" s="9" t="s">
        <v>1767</v>
      </c>
      <c r="N333" s="9" t="s">
        <v>1767</v>
      </c>
      <c r="O333" s="9" t="s">
        <v>113</v>
      </c>
      <c r="P333" s="9">
        <v>1</v>
      </c>
      <c r="Q333" s="9"/>
      <c r="R333" s="9"/>
      <c r="S333" s="9" t="s">
        <v>1569</v>
      </c>
    </row>
    <row r="334" spans="1:19">
      <c r="A334" s="9" t="s">
        <v>29</v>
      </c>
      <c r="B334" s="9" t="s">
        <v>1561</v>
      </c>
      <c r="C334" s="9" t="s">
        <v>30</v>
      </c>
      <c r="D334" s="9" t="s">
        <v>1930</v>
      </c>
      <c r="E334" s="9" t="s">
        <v>1931</v>
      </c>
      <c r="F334" s="9" t="s">
        <v>1932</v>
      </c>
      <c r="G334" s="9" t="s">
        <v>1931</v>
      </c>
      <c r="H334" s="9" t="s">
        <v>1723</v>
      </c>
      <c r="I334" s="9">
        <v>2017</v>
      </c>
      <c r="J334" s="9" t="s">
        <v>130</v>
      </c>
      <c r="K334" s="9" t="s">
        <v>1933</v>
      </c>
      <c r="L334" s="9" t="s">
        <v>1934</v>
      </c>
      <c r="M334" s="9" t="s">
        <v>1726</v>
      </c>
      <c r="N334" s="9" t="s">
        <v>1726</v>
      </c>
      <c r="O334" s="9" t="s">
        <v>113</v>
      </c>
      <c r="P334" s="9">
        <v>1</v>
      </c>
      <c r="Q334" s="9"/>
      <c r="R334" s="9"/>
      <c r="S334" s="9" t="s">
        <v>1569</v>
      </c>
    </row>
    <row r="335" spans="1:19">
      <c r="A335" s="9" t="s">
        <v>29</v>
      </c>
      <c r="B335" s="9" t="s">
        <v>1561</v>
      </c>
      <c r="C335" s="9" t="s">
        <v>30</v>
      </c>
      <c r="D335" s="9" t="s">
        <v>1935</v>
      </c>
      <c r="E335" s="9" t="s">
        <v>1936</v>
      </c>
      <c r="F335" s="9" t="s">
        <v>1932</v>
      </c>
      <c r="G335" s="9" t="s">
        <v>1936</v>
      </c>
      <c r="H335" s="9" t="s">
        <v>1723</v>
      </c>
      <c r="I335" s="9">
        <v>2017</v>
      </c>
      <c r="J335" s="9" t="s">
        <v>130</v>
      </c>
      <c r="K335" s="9" t="s">
        <v>1937</v>
      </c>
      <c r="L335" s="9" t="s">
        <v>1938</v>
      </c>
      <c r="M335" s="9" t="s">
        <v>1726</v>
      </c>
      <c r="N335" s="9" t="s">
        <v>1726</v>
      </c>
      <c r="O335" s="9" t="s">
        <v>113</v>
      </c>
      <c r="P335" s="9">
        <v>1</v>
      </c>
      <c r="Q335" s="9"/>
      <c r="R335" s="9"/>
      <c r="S335" s="9" t="s">
        <v>1569</v>
      </c>
    </row>
    <row r="336" spans="1:19">
      <c r="A336" s="9" t="s">
        <v>29</v>
      </c>
      <c r="B336" s="9" t="s">
        <v>1561</v>
      </c>
      <c r="C336" s="9" t="s">
        <v>30</v>
      </c>
      <c r="D336" s="9" t="s">
        <v>1939</v>
      </c>
      <c r="E336" s="9" t="s">
        <v>1940</v>
      </c>
      <c r="F336" s="9" t="s">
        <v>1678</v>
      </c>
      <c r="G336" s="9" t="s">
        <v>1940</v>
      </c>
      <c r="H336" s="9" t="s">
        <v>1941</v>
      </c>
      <c r="I336" s="9">
        <v>2017</v>
      </c>
      <c r="J336" s="9" t="s">
        <v>1942</v>
      </c>
      <c r="K336" s="9" t="s">
        <v>1681</v>
      </c>
      <c r="L336" s="9" t="s">
        <v>1943</v>
      </c>
      <c r="M336" s="9" t="s">
        <v>1767</v>
      </c>
      <c r="N336" s="9" t="s">
        <v>1767</v>
      </c>
      <c r="O336" s="9" t="s">
        <v>113</v>
      </c>
      <c r="P336" s="9">
        <v>1</v>
      </c>
      <c r="Q336" s="9"/>
      <c r="R336" s="9"/>
      <c r="S336" s="9" t="s">
        <v>1569</v>
      </c>
    </row>
    <row r="337" spans="1:19">
      <c r="A337" s="9" t="s">
        <v>29</v>
      </c>
      <c r="B337" s="9" t="s">
        <v>1561</v>
      </c>
      <c r="C337" s="9" t="s">
        <v>30</v>
      </c>
      <c r="D337" s="9" t="s">
        <v>1944</v>
      </c>
      <c r="E337" s="9" t="s">
        <v>1945</v>
      </c>
      <c r="F337" s="9" t="s">
        <v>1678</v>
      </c>
      <c r="G337" s="9" t="s">
        <v>1945</v>
      </c>
      <c r="H337" s="9" t="s">
        <v>1946</v>
      </c>
      <c r="I337" s="9">
        <v>2019</v>
      </c>
      <c r="J337" s="9" t="s">
        <v>1947</v>
      </c>
      <c r="K337" s="9" t="s">
        <v>1681</v>
      </c>
      <c r="L337" s="9" t="s">
        <v>1948</v>
      </c>
      <c r="M337" s="9" t="s">
        <v>1767</v>
      </c>
      <c r="N337" s="9" t="s">
        <v>1767</v>
      </c>
      <c r="O337" s="9" t="s">
        <v>113</v>
      </c>
      <c r="P337" s="9">
        <v>1</v>
      </c>
      <c r="Q337" s="9"/>
      <c r="R337" s="9"/>
      <c r="S337" s="9" t="s">
        <v>1569</v>
      </c>
    </row>
    <row r="338" spans="1:19">
      <c r="A338" s="9" t="s">
        <v>29</v>
      </c>
      <c r="B338" s="9" t="s">
        <v>1561</v>
      </c>
      <c r="C338" s="9" t="s">
        <v>30</v>
      </c>
      <c r="D338" s="9" t="s">
        <v>1949</v>
      </c>
      <c r="E338" s="9" t="s">
        <v>1950</v>
      </c>
      <c r="F338" s="9" t="s">
        <v>1951</v>
      </c>
      <c r="G338" s="9" t="s">
        <v>1950</v>
      </c>
      <c r="H338" s="9" t="s">
        <v>1792</v>
      </c>
      <c r="I338" s="9">
        <v>2019</v>
      </c>
      <c r="J338" s="9" t="s">
        <v>130</v>
      </c>
      <c r="K338" s="9" t="s">
        <v>1952</v>
      </c>
      <c r="L338" s="9" t="s">
        <v>1953</v>
      </c>
      <c r="M338" s="9" t="s">
        <v>1767</v>
      </c>
      <c r="N338" s="9" t="s">
        <v>1767</v>
      </c>
      <c r="O338" s="9" t="s">
        <v>113</v>
      </c>
      <c r="P338" s="9">
        <v>1</v>
      </c>
      <c r="Q338" s="9"/>
      <c r="R338" s="9"/>
      <c r="S338" s="9" t="s">
        <v>1569</v>
      </c>
    </row>
    <row r="339" spans="1:19">
      <c r="A339" s="9" t="s">
        <v>29</v>
      </c>
      <c r="B339" s="9" t="s">
        <v>1561</v>
      </c>
      <c r="C339" s="9" t="s">
        <v>30</v>
      </c>
      <c r="D339" s="9" t="s">
        <v>1954</v>
      </c>
      <c r="E339" s="9" t="s">
        <v>1955</v>
      </c>
      <c r="F339" s="9" t="s">
        <v>1956</v>
      </c>
      <c r="G339" s="9" t="s">
        <v>1955</v>
      </c>
      <c r="H339" s="9" t="s">
        <v>1957</v>
      </c>
      <c r="I339" s="9">
        <v>2019</v>
      </c>
      <c r="J339" s="9" t="s">
        <v>130</v>
      </c>
      <c r="K339" s="9" t="s">
        <v>1958</v>
      </c>
      <c r="L339" s="9" t="s">
        <v>1959</v>
      </c>
      <c r="M339" s="9" t="s">
        <v>1759</v>
      </c>
      <c r="N339" s="9" t="s">
        <v>1759</v>
      </c>
      <c r="O339" s="9" t="s">
        <v>113</v>
      </c>
      <c r="P339" s="9">
        <v>1</v>
      </c>
      <c r="Q339" s="9"/>
      <c r="R339" s="9"/>
      <c r="S339" s="9" t="s">
        <v>1569</v>
      </c>
    </row>
    <row r="340" spans="1:19">
      <c r="A340" s="9" t="s">
        <v>29</v>
      </c>
      <c r="B340" s="9" t="s">
        <v>1561</v>
      </c>
      <c r="C340" s="9" t="s">
        <v>30</v>
      </c>
      <c r="D340" s="9" t="s">
        <v>1960</v>
      </c>
      <c r="E340" s="9" t="s">
        <v>1961</v>
      </c>
      <c r="F340" s="9" t="s">
        <v>1791</v>
      </c>
      <c r="G340" s="9" t="s">
        <v>1961</v>
      </c>
      <c r="H340" s="9" t="s">
        <v>1792</v>
      </c>
      <c r="I340" s="9">
        <v>2019</v>
      </c>
      <c r="J340" s="9" t="s">
        <v>130</v>
      </c>
      <c r="K340" s="9" t="s">
        <v>1962</v>
      </c>
      <c r="L340" s="9" t="s">
        <v>1963</v>
      </c>
      <c r="M340" s="9" t="s">
        <v>1767</v>
      </c>
      <c r="N340" s="9" t="s">
        <v>1767</v>
      </c>
      <c r="O340" s="9" t="s">
        <v>113</v>
      </c>
      <c r="P340" s="9">
        <v>1</v>
      </c>
      <c r="Q340" s="9"/>
      <c r="R340" s="9"/>
      <c r="S340" s="9" t="s">
        <v>1569</v>
      </c>
    </row>
    <row r="341" spans="1:19">
      <c r="A341" s="9" t="s">
        <v>29</v>
      </c>
      <c r="B341" s="9" t="s">
        <v>1561</v>
      </c>
      <c r="C341" s="9" t="s">
        <v>30</v>
      </c>
      <c r="D341" s="9" t="s">
        <v>1964</v>
      </c>
      <c r="E341" s="9" t="s">
        <v>1965</v>
      </c>
      <c r="F341" s="9" t="s">
        <v>1678</v>
      </c>
      <c r="G341" s="9" t="s">
        <v>1965</v>
      </c>
      <c r="H341" s="9" t="s">
        <v>1966</v>
      </c>
      <c r="I341" s="9">
        <v>2018</v>
      </c>
      <c r="J341" s="9" t="s">
        <v>677</v>
      </c>
      <c r="K341" s="9" t="s">
        <v>1967</v>
      </c>
      <c r="L341" s="9" t="s">
        <v>1968</v>
      </c>
      <c r="M341" s="9" t="s">
        <v>1767</v>
      </c>
      <c r="N341" s="9" t="s">
        <v>1767</v>
      </c>
      <c r="O341" s="9" t="s">
        <v>113</v>
      </c>
      <c r="P341" s="9">
        <v>1</v>
      </c>
      <c r="Q341" s="9"/>
      <c r="R341" s="9"/>
      <c r="S341" s="9" t="s">
        <v>1569</v>
      </c>
    </row>
    <row r="342" spans="1:19">
      <c r="A342" s="9" t="s">
        <v>29</v>
      </c>
      <c r="B342" s="9" t="s">
        <v>1561</v>
      </c>
      <c r="C342" s="9" t="s">
        <v>30</v>
      </c>
      <c r="D342" s="9" t="s">
        <v>1969</v>
      </c>
      <c r="E342" s="9" t="s">
        <v>1970</v>
      </c>
      <c r="F342" s="9" t="s">
        <v>1971</v>
      </c>
      <c r="G342" s="9" t="s">
        <v>1972</v>
      </c>
      <c r="H342" s="9" t="s">
        <v>1973</v>
      </c>
      <c r="I342" s="9">
        <v>2017</v>
      </c>
      <c r="J342" s="9" t="s">
        <v>158</v>
      </c>
      <c r="K342" s="9" t="s">
        <v>1974</v>
      </c>
      <c r="L342" s="9" t="s">
        <v>1975</v>
      </c>
      <c r="M342" s="9" t="s">
        <v>1759</v>
      </c>
      <c r="N342" s="9" t="s">
        <v>1759</v>
      </c>
      <c r="O342" s="9" t="s">
        <v>113</v>
      </c>
      <c r="P342" s="9">
        <v>1</v>
      </c>
      <c r="Q342" s="9"/>
      <c r="R342" s="9"/>
      <c r="S342" s="9" t="s">
        <v>1569</v>
      </c>
    </row>
    <row r="343" spans="1:19">
      <c r="A343" s="9" t="s">
        <v>29</v>
      </c>
      <c r="B343" s="9" t="s">
        <v>1561</v>
      </c>
      <c r="C343" s="9" t="s">
        <v>30</v>
      </c>
      <c r="D343" s="9" t="s">
        <v>1976</v>
      </c>
      <c r="E343" s="9" t="s">
        <v>1977</v>
      </c>
      <c r="F343" s="9" t="s">
        <v>1678</v>
      </c>
      <c r="G343" s="9" t="s">
        <v>1978</v>
      </c>
      <c r="H343" s="9" t="s">
        <v>1973</v>
      </c>
      <c r="I343" s="9">
        <v>2017</v>
      </c>
      <c r="J343" s="9" t="s">
        <v>158</v>
      </c>
      <c r="K343" s="9" t="s">
        <v>1681</v>
      </c>
      <c r="L343" s="9" t="s">
        <v>1979</v>
      </c>
      <c r="M343" s="9" t="s">
        <v>1767</v>
      </c>
      <c r="N343" s="9" t="s">
        <v>1767</v>
      </c>
      <c r="O343" s="9" t="s">
        <v>113</v>
      </c>
      <c r="P343" s="9">
        <v>1</v>
      </c>
      <c r="Q343" s="9"/>
      <c r="R343" s="9"/>
      <c r="S343" s="9" t="s">
        <v>1569</v>
      </c>
    </row>
    <row r="344" spans="1:19">
      <c r="A344" s="9" t="s">
        <v>29</v>
      </c>
      <c r="B344" s="9" t="s">
        <v>1561</v>
      </c>
      <c r="C344" s="9" t="s">
        <v>30</v>
      </c>
      <c r="D344" s="9" t="s">
        <v>1980</v>
      </c>
      <c r="E344" s="9" t="s">
        <v>1981</v>
      </c>
      <c r="F344" s="9" t="s">
        <v>1982</v>
      </c>
      <c r="G344" s="9" t="s">
        <v>1981</v>
      </c>
      <c r="H344" s="9" t="s">
        <v>1983</v>
      </c>
      <c r="I344" s="9">
        <v>2018</v>
      </c>
      <c r="J344" s="9" t="s">
        <v>130</v>
      </c>
      <c r="K344" s="9" t="s">
        <v>1984</v>
      </c>
      <c r="L344" s="9" t="s">
        <v>1985</v>
      </c>
      <c r="M344" s="9" t="s">
        <v>1767</v>
      </c>
      <c r="N344" s="9" t="s">
        <v>1767</v>
      </c>
      <c r="O344" s="9" t="s">
        <v>113</v>
      </c>
      <c r="P344" s="9">
        <v>1</v>
      </c>
      <c r="Q344" s="9"/>
      <c r="R344" s="9"/>
      <c r="S344" s="9" t="s">
        <v>1569</v>
      </c>
    </row>
    <row r="345" spans="1:19">
      <c r="A345" s="9" t="s">
        <v>29</v>
      </c>
      <c r="B345" s="9" t="s">
        <v>1561</v>
      </c>
      <c r="C345" s="9" t="s">
        <v>30</v>
      </c>
      <c r="D345" s="9" t="s">
        <v>1986</v>
      </c>
      <c r="E345" s="9" t="s">
        <v>1987</v>
      </c>
      <c r="F345" s="9" t="s">
        <v>1803</v>
      </c>
      <c r="G345" s="9" t="s">
        <v>1987</v>
      </c>
      <c r="H345" s="9" t="s">
        <v>1988</v>
      </c>
      <c r="I345" s="9">
        <v>2018</v>
      </c>
      <c r="J345" s="9" t="s">
        <v>130</v>
      </c>
      <c r="K345" s="9" t="s">
        <v>1989</v>
      </c>
      <c r="L345" s="9" t="s">
        <v>1990</v>
      </c>
      <c r="M345" s="9" t="s">
        <v>1726</v>
      </c>
      <c r="N345" s="9" t="s">
        <v>1726</v>
      </c>
      <c r="O345" s="9" t="s">
        <v>113</v>
      </c>
      <c r="P345" s="9">
        <v>1</v>
      </c>
      <c r="Q345" s="9"/>
      <c r="R345" s="9"/>
      <c r="S345" s="9" t="s">
        <v>1569</v>
      </c>
    </row>
    <row r="346" spans="1:19">
      <c r="A346" s="9" t="s">
        <v>29</v>
      </c>
      <c r="B346" s="9" t="s">
        <v>1561</v>
      </c>
      <c r="C346" s="9" t="s">
        <v>30</v>
      </c>
      <c r="D346" s="9" t="s">
        <v>1991</v>
      </c>
      <c r="E346" s="9" t="s">
        <v>1992</v>
      </c>
      <c r="F346" s="9" t="s">
        <v>1993</v>
      </c>
      <c r="G346" s="9" t="s">
        <v>1992</v>
      </c>
      <c r="H346" s="9" t="s">
        <v>1823</v>
      </c>
      <c r="I346" s="9">
        <v>2020</v>
      </c>
      <c r="J346" s="9" t="s">
        <v>130</v>
      </c>
      <c r="K346" s="9" t="s">
        <v>1994</v>
      </c>
      <c r="L346" s="9" t="s">
        <v>1995</v>
      </c>
      <c r="M346" s="9" t="s">
        <v>1890</v>
      </c>
      <c r="N346" s="9" t="s">
        <v>1890</v>
      </c>
      <c r="O346" s="9" t="s">
        <v>113</v>
      </c>
      <c r="P346" s="9">
        <v>1</v>
      </c>
      <c r="Q346" s="9"/>
      <c r="R346" s="9"/>
      <c r="S346" s="9" t="s">
        <v>1569</v>
      </c>
    </row>
    <row r="347" spans="1:19">
      <c r="A347" s="9" t="s">
        <v>29</v>
      </c>
      <c r="B347" s="9" t="s">
        <v>1561</v>
      </c>
      <c r="C347" s="9" t="s">
        <v>30</v>
      </c>
      <c r="D347" s="9" t="s">
        <v>1996</v>
      </c>
      <c r="E347" s="9" t="s">
        <v>1997</v>
      </c>
      <c r="F347" s="9" t="s">
        <v>1998</v>
      </c>
      <c r="G347" s="9" t="s">
        <v>1997</v>
      </c>
      <c r="H347" s="9" t="s">
        <v>564</v>
      </c>
      <c r="I347" s="9">
        <v>2023</v>
      </c>
      <c r="J347" s="9" t="s">
        <v>130</v>
      </c>
      <c r="K347" s="9" t="s">
        <v>1811</v>
      </c>
      <c r="L347" s="9" t="s">
        <v>1999</v>
      </c>
      <c r="M347" s="9" t="s">
        <v>1767</v>
      </c>
      <c r="N347" s="9" t="s">
        <v>1767</v>
      </c>
      <c r="O347" s="9" t="s">
        <v>113</v>
      </c>
      <c r="P347" s="9">
        <v>1</v>
      </c>
      <c r="Q347" s="9"/>
      <c r="R347" s="9"/>
      <c r="S347" s="9" t="s">
        <v>1569</v>
      </c>
    </row>
    <row r="348" spans="1:19">
      <c r="A348" s="9" t="s">
        <v>29</v>
      </c>
      <c r="B348" s="9" t="s">
        <v>1561</v>
      </c>
      <c r="C348" s="9" t="s">
        <v>30</v>
      </c>
      <c r="D348" s="9" t="s">
        <v>2000</v>
      </c>
      <c r="E348" s="9" t="s">
        <v>2001</v>
      </c>
      <c r="F348" s="9" t="s">
        <v>2002</v>
      </c>
      <c r="G348" s="9" t="s">
        <v>2001</v>
      </c>
      <c r="H348" s="9" t="s">
        <v>2003</v>
      </c>
      <c r="I348" s="9">
        <v>2018</v>
      </c>
      <c r="J348" s="9" t="s">
        <v>130</v>
      </c>
      <c r="K348" s="9" t="s">
        <v>2004</v>
      </c>
      <c r="L348" s="9" t="s">
        <v>2005</v>
      </c>
      <c r="M348" s="9" t="s">
        <v>1767</v>
      </c>
      <c r="N348" s="9" t="s">
        <v>1767</v>
      </c>
      <c r="O348" s="9" t="s">
        <v>113</v>
      </c>
      <c r="P348" s="9">
        <v>1</v>
      </c>
      <c r="Q348" s="9"/>
      <c r="R348" s="9"/>
      <c r="S348" s="9" t="s">
        <v>1569</v>
      </c>
    </row>
    <row r="349" spans="1:19">
      <c r="A349" s="9" t="s">
        <v>29</v>
      </c>
      <c r="B349" s="9" t="s">
        <v>1561</v>
      </c>
      <c r="C349" s="9" t="s">
        <v>30</v>
      </c>
      <c r="D349" s="9" t="s">
        <v>2006</v>
      </c>
      <c r="E349" s="9" t="s">
        <v>2007</v>
      </c>
      <c r="F349" s="9" t="s">
        <v>1850</v>
      </c>
      <c r="G349" s="9" t="s">
        <v>2007</v>
      </c>
      <c r="H349" s="9" t="s">
        <v>1851</v>
      </c>
      <c r="I349" s="9">
        <v>2019</v>
      </c>
      <c r="J349" s="9" t="s">
        <v>130</v>
      </c>
      <c r="K349" s="9" t="s">
        <v>2008</v>
      </c>
      <c r="L349" s="9" t="s">
        <v>1934</v>
      </c>
      <c r="M349" s="9" t="s">
        <v>1726</v>
      </c>
      <c r="N349" s="9" t="s">
        <v>1726</v>
      </c>
      <c r="O349" s="9" t="s">
        <v>113</v>
      </c>
      <c r="P349" s="9">
        <v>1</v>
      </c>
      <c r="Q349" s="9"/>
      <c r="R349" s="9"/>
      <c r="S349" s="9" t="s">
        <v>1569</v>
      </c>
    </row>
    <row r="350" spans="1:19">
      <c r="A350" s="9" t="s">
        <v>29</v>
      </c>
      <c r="B350" s="9" t="s">
        <v>1561</v>
      </c>
      <c r="C350" s="9" t="s">
        <v>30</v>
      </c>
      <c r="D350" s="9" t="s">
        <v>2009</v>
      </c>
      <c r="E350" s="9" t="s">
        <v>2010</v>
      </c>
      <c r="F350" s="9" t="s">
        <v>2011</v>
      </c>
      <c r="G350" s="9" t="s">
        <v>2010</v>
      </c>
      <c r="H350" s="9" t="s">
        <v>2012</v>
      </c>
      <c r="I350" s="9">
        <v>2018</v>
      </c>
      <c r="J350" s="9" t="s">
        <v>130</v>
      </c>
      <c r="K350" s="9" t="s">
        <v>1765</v>
      </c>
      <c r="L350" s="9" t="s">
        <v>2013</v>
      </c>
      <c r="M350" s="9" t="s">
        <v>2014</v>
      </c>
      <c r="N350" s="9" t="s">
        <v>2014</v>
      </c>
      <c r="O350" s="9" t="s">
        <v>113</v>
      </c>
      <c r="P350" s="9">
        <v>1</v>
      </c>
      <c r="Q350" s="9"/>
      <c r="R350" s="9"/>
      <c r="S350" s="9" t="s">
        <v>1569</v>
      </c>
    </row>
    <row r="351" spans="1:19">
      <c r="A351" s="9" t="s">
        <v>29</v>
      </c>
      <c r="B351" s="9" t="s">
        <v>1561</v>
      </c>
      <c r="C351" s="9" t="s">
        <v>30</v>
      </c>
      <c r="D351" s="9" t="s">
        <v>2015</v>
      </c>
      <c r="E351" s="9" t="s">
        <v>2016</v>
      </c>
      <c r="F351" s="9" t="s">
        <v>2017</v>
      </c>
      <c r="G351" s="9" t="s">
        <v>2016</v>
      </c>
      <c r="H351" s="9" t="s">
        <v>2018</v>
      </c>
      <c r="I351" s="9">
        <v>2021</v>
      </c>
      <c r="J351" s="9" t="s">
        <v>130</v>
      </c>
      <c r="K351" s="9" t="s">
        <v>2019</v>
      </c>
      <c r="L351" s="9" t="s">
        <v>2020</v>
      </c>
      <c r="M351" s="9" t="s">
        <v>1767</v>
      </c>
      <c r="N351" s="9" t="s">
        <v>1767</v>
      </c>
      <c r="O351" s="9" t="s">
        <v>113</v>
      </c>
      <c r="P351" s="9">
        <v>1</v>
      </c>
      <c r="Q351" s="9"/>
      <c r="R351" s="9"/>
      <c r="S351" s="9" t="s">
        <v>1569</v>
      </c>
    </row>
    <row r="352" spans="1:19">
      <c r="A352" s="9" t="s">
        <v>29</v>
      </c>
      <c r="B352" s="9" t="s">
        <v>1561</v>
      </c>
      <c r="C352" s="9" t="s">
        <v>30</v>
      </c>
      <c r="D352" s="9" t="s">
        <v>2021</v>
      </c>
      <c r="E352" s="9" t="s">
        <v>2022</v>
      </c>
      <c r="F352" s="9" t="s">
        <v>2023</v>
      </c>
      <c r="G352" s="9" t="s">
        <v>2022</v>
      </c>
      <c r="H352" s="9" t="s">
        <v>2024</v>
      </c>
      <c r="I352" s="9">
        <v>2022</v>
      </c>
      <c r="J352" s="9" t="s">
        <v>130</v>
      </c>
      <c r="K352" s="9" t="s">
        <v>2025</v>
      </c>
      <c r="L352" s="9" t="s">
        <v>2026</v>
      </c>
      <c r="M352" s="9" t="s">
        <v>1767</v>
      </c>
      <c r="N352" s="9" t="s">
        <v>1767</v>
      </c>
      <c r="O352" s="9" t="s">
        <v>113</v>
      </c>
      <c r="P352" s="9">
        <v>1</v>
      </c>
      <c r="Q352" s="9"/>
      <c r="R352" s="9"/>
      <c r="S352" s="9" t="s">
        <v>1569</v>
      </c>
    </row>
    <row r="353" spans="1:19">
      <c r="A353" s="9" t="s">
        <v>29</v>
      </c>
      <c r="B353" s="9" t="s">
        <v>1561</v>
      </c>
      <c r="C353" s="9" t="s">
        <v>30</v>
      </c>
      <c r="D353" s="9" t="s">
        <v>2027</v>
      </c>
      <c r="E353" s="9" t="s">
        <v>2028</v>
      </c>
      <c r="F353" s="9" t="s">
        <v>2029</v>
      </c>
      <c r="G353" s="9" t="s">
        <v>2028</v>
      </c>
      <c r="H353" s="9" t="s">
        <v>529</v>
      </c>
      <c r="I353" s="9">
        <v>2023</v>
      </c>
      <c r="J353" s="9" t="s">
        <v>130</v>
      </c>
      <c r="K353" s="9" t="s">
        <v>2030</v>
      </c>
      <c r="L353" s="9" t="s">
        <v>2031</v>
      </c>
      <c r="M353" s="9" t="s">
        <v>1767</v>
      </c>
      <c r="N353" s="9" t="s">
        <v>1767</v>
      </c>
      <c r="O353" s="9" t="s">
        <v>113</v>
      </c>
      <c r="P353" s="9">
        <v>1</v>
      </c>
      <c r="Q353" s="9"/>
      <c r="R353" s="9"/>
      <c r="S353" s="9" t="s">
        <v>1569</v>
      </c>
    </row>
    <row r="354" spans="1:19">
      <c r="A354" s="9" t="s">
        <v>29</v>
      </c>
      <c r="B354" s="9" t="s">
        <v>1561</v>
      </c>
      <c r="C354" s="9" t="s">
        <v>30</v>
      </c>
      <c r="D354" s="9" t="s">
        <v>2032</v>
      </c>
      <c r="E354" s="9" t="s">
        <v>2033</v>
      </c>
      <c r="F354" s="9" t="s">
        <v>1722</v>
      </c>
      <c r="G354" s="9" t="s">
        <v>2033</v>
      </c>
      <c r="H354" s="9" t="s">
        <v>2034</v>
      </c>
      <c r="I354" s="9">
        <v>2017</v>
      </c>
      <c r="J354" s="9" t="s">
        <v>130</v>
      </c>
      <c r="K354" s="9" t="s">
        <v>2035</v>
      </c>
      <c r="L354" s="9" t="s">
        <v>1934</v>
      </c>
      <c r="M354" s="9" t="s">
        <v>1726</v>
      </c>
      <c r="N354" s="9" t="s">
        <v>1726</v>
      </c>
      <c r="O354" s="9" t="s">
        <v>113</v>
      </c>
      <c r="P354" s="9">
        <v>1</v>
      </c>
      <c r="Q354" s="9"/>
      <c r="R354" s="9"/>
      <c r="S354" s="9" t="s">
        <v>1569</v>
      </c>
    </row>
    <row r="355" spans="1:19">
      <c r="A355" s="9" t="s">
        <v>29</v>
      </c>
      <c r="B355" s="9" t="s">
        <v>1561</v>
      </c>
      <c r="C355" s="9" t="s">
        <v>30</v>
      </c>
      <c r="D355" s="9" t="s">
        <v>2036</v>
      </c>
      <c r="E355" s="9" t="s">
        <v>2037</v>
      </c>
      <c r="F355" s="9" t="s">
        <v>1729</v>
      </c>
      <c r="G355" s="9" t="s">
        <v>2037</v>
      </c>
      <c r="H355" s="9" t="s">
        <v>1730</v>
      </c>
      <c r="I355" s="9">
        <v>2018</v>
      </c>
      <c r="J355" s="9" t="s">
        <v>130</v>
      </c>
      <c r="K355" s="9" t="s">
        <v>2038</v>
      </c>
      <c r="L355" s="9" t="s">
        <v>2039</v>
      </c>
      <c r="M355" s="9" t="s">
        <v>1767</v>
      </c>
      <c r="N355" s="9" t="s">
        <v>1767</v>
      </c>
      <c r="O355" s="9" t="s">
        <v>113</v>
      </c>
      <c r="P355" s="9">
        <v>1</v>
      </c>
      <c r="Q355" s="9"/>
      <c r="R355" s="9"/>
      <c r="S355" s="9" t="s">
        <v>1569</v>
      </c>
    </row>
    <row r="356" spans="1:19">
      <c r="A356" s="9" t="s">
        <v>29</v>
      </c>
      <c r="B356" s="9" t="s">
        <v>1561</v>
      </c>
      <c r="C356" s="9" t="s">
        <v>30</v>
      </c>
      <c r="D356" s="9" t="s">
        <v>2040</v>
      </c>
      <c r="E356" s="9" t="s">
        <v>2041</v>
      </c>
      <c r="F356" s="9" t="s">
        <v>1723</v>
      </c>
      <c r="G356" s="9" t="s">
        <v>2041</v>
      </c>
      <c r="H356" s="9" t="s">
        <v>2042</v>
      </c>
      <c r="I356" s="9">
        <v>2019</v>
      </c>
      <c r="J356" s="9" t="s">
        <v>130</v>
      </c>
      <c r="K356" s="9" t="s">
        <v>2043</v>
      </c>
      <c r="L356" s="9" t="s">
        <v>2044</v>
      </c>
      <c r="M356" s="9" t="s">
        <v>1759</v>
      </c>
      <c r="N356" s="9" t="s">
        <v>1759</v>
      </c>
      <c r="O356" s="9" t="s">
        <v>113</v>
      </c>
      <c r="P356" s="9">
        <v>1</v>
      </c>
      <c r="Q356" s="9"/>
      <c r="R356" s="9"/>
      <c r="S356" s="9" t="s">
        <v>1569</v>
      </c>
    </row>
    <row r="357" spans="1:19">
      <c r="A357" s="9" t="s">
        <v>29</v>
      </c>
      <c r="B357" s="9" t="s">
        <v>1561</v>
      </c>
      <c r="C357" s="9" t="s">
        <v>30</v>
      </c>
      <c r="D357" s="9" t="s">
        <v>2045</v>
      </c>
      <c r="E357" s="9" t="s">
        <v>2046</v>
      </c>
      <c r="F357" s="9" t="s">
        <v>1822</v>
      </c>
      <c r="G357" s="9" t="s">
        <v>2046</v>
      </c>
      <c r="H357" s="9" t="s">
        <v>1823</v>
      </c>
      <c r="I357" s="9">
        <v>2020</v>
      </c>
      <c r="J357" s="9" t="s">
        <v>130</v>
      </c>
      <c r="K357" s="9" t="s">
        <v>2047</v>
      </c>
      <c r="L357" s="9" t="s">
        <v>2048</v>
      </c>
      <c r="M357" s="9" t="s">
        <v>1767</v>
      </c>
      <c r="N357" s="9" t="s">
        <v>1767</v>
      </c>
      <c r="O357" s="9" t="s">
        <v>113</v>
      </c>
      <c r="P357" s="9">
        <v>1</v>
      </c>
      <c r="Q357" s="9"/>
      <c r="R357" s="9"/>
      <c r="S357" s="9" t="s">
        <v>1569</v>
      </c>
    </row>
    <row r="358" spans="1:19">
      <c r="A358" s="9" t="s">
        <v>29</v>
      </c>
      <c r="B358" s="9" t="s">
        <v>1561</v>
      </c>
      <c r="C358" s="9" t="s">
        <v>30</v>
      </c>
      <c r="D358" s="9" t="s">
        <v>2049</v>
      </c>
      <c r="E358" s="9" t="s">
        <v>2050</v>
      </c>
      <c r="F358" s="9" t="s">
        <v>2051</v>
      </c>
      <c r="G358" s="9" t="s">
        <v>2050</v>
      </c>
      <c r="H358" s="9" t="s">
        <v>2052</v>
      </c>
      <c r="I358" s="9">
        <v>2020</v>
      </c>
      <c r="J358" s="9" t="s">
        <v>130</v>
      </c>
      <c r="K358" s="9" t="s">
        <v>2053</v>
      </c>
      <c r="L358" s="9" t="s">
        <v>1865</v>
      </c>
      <c r="M358" s="9" t="s">
        <v>1767</v>
      </c>
      <c r="N358" s="9" t="s">
        <v>1767</v>
      </c>
      <c r="O358" s="9" t="s">
        <v>113</v>
      </c>
      <c r="P358" s="9">
        <v>1</v>
      </c>
      <c r="Q358" s="9"/>
      <c r="R358" s="9"/>
      <c r="S358" s="9" t="s">
        <v>1569</v>
      </c>
    </row>
    <row r="359" spans="1:19">
      <c r="A359" s="9" t="s">
        <v>29</v>
      </c>
      <c r="B359" s="9" t="s">
        <v>1561</v>
      </c>
      <c r="C359" s="9" t="s">
        <v>30</v>
      </c>
      <c r="D359" s="9" t="s">
        <v>2054</v>
      </c>
      <c r="E359" s="9" t="s">
        <v>2055</v>
      </c>
      <c r="F359" s="9" t="s">
        <v>2056</v>
      </c>
      <c r="G359" s="9" t="s">
        <v>2057</v>
      </c>
      <c r="H359" s="9" t="s">
        <v>1901</v>
      </c>
      <c r="I359" s="9">
        <v>2017</v>
      </c>
      <c r="J359" s="9" t="s">
        <v>158</v>
      </c>
      <c r="K359" s="9" t="s">
        <v>2058</v>
      </c>
      <c r="L359" s="9" t="s">
        <v>2059</v>
      </c>
      <c r="M359" s="9" t="s">
        <v>1759</v>
      </c>
      <c r="N359" s="9" t="s">
        <v>1759</v>
      </c>
      <c r="O359" s="9" t="s">
        <v>113</v>
      </c>
      <c r="P359" s="9">
        <v>1</v>
      </c>
      <c r="Q359" s="9"/>
      <c r="R359" s="9"/>
      <c r="S359" s="9" t="s">
        <v>1569</v>
      </c>
    </row>
    <row r="360" spans="1:19">
      <c r="A360" s="9" t="s">
        <v>29</v>
      </c>
      <c r="B360" s="9" t="s">
        <v>1561</v>
      </c>
      <c r="C360" s="9" t="s">
        <v>30</v>
      </c>
      <c r="D360" s="9" t="s">
        <v>2060</v>
      </c>
      <c r="E360" s="9" t="s">
        <v>2061</v>
      </c>
      <c r="F360" s="9" t="s">
        <v>2062</v>
      </c>
      <c r="G360" s="9" t="s">
        <v>2063</v>
      </c>
      <c r="H360" s="9" t="s">
        <v>2064</v>
      </c>
      <c r="I360" s="9">
        <v>2018</v>
      </c>
      <c r="J360" s="9" t="s">
        <v>158</v>
      </c>
      <c r="K360" s="9" t="s">
        <v>2038</v>
      </c>
      <c r="L360" s="9" t="s">
        <v>2065</v>
      </c>
      <c r="M360" s="9" t="s">
        <v>1767</v>
      </c>
      <c r="N360" s="9" t="s">
        <v>1767</v>
      </c>
      <c r="O360" s="9" t="s">
        <v>113</v>
      </c>
      <c r="P360" s="9">
        <v>1</v>
      </c>
      <c r="Q360" s="9"/>
      <c r="R360" s="9"/>
      <c r="S360" s="9" t="s">
        <v>1569</v>
      </c>
    </row>
    <row r="361" spans="1:19">
      <c r="A361" s="9" t="s">
        <v>29</v>
      </c>
      <c r="B361" s="9" t="s">
        <v>1561</v>
      </c>
      <c r="C361" s="9" t="s">
        <v>30</v>
      </c>
      <c r="D361" s="9" t="s">
        <v>2066</v>
      </c>
      <c r="E361" s="9" t="s">
        <v>2067</v>
      </c>
      <c r="F361" s="9" t="s">
        <v>2068</v>
      </c>
      <c r="G361" s="9" t="s">
        <v>2067</v>
      </c>
      <c r="H361" s="9" t="s">
        <v>1851</v>
      </c>
      <c r="I361" s="9">
        <v>2019</v>
      </c>
      <c r="J361" s="9" t="s">
        <v>130</v>
      </c>
      <c r="K361" s="9" t="s">
        <v>2069</v>
      </c>
      <c r="L361" s="9" t="s">
        <v>2070</v>
      </c>
      <c r="M361" s="9" t="s">
        <v>1767</v>
      </c>
      <c r="N361" s="9" t="s">
        <v>1767</v>
      </c>
      <c r="O361" s="9" t="s">
        <v>113</v>
      </c>
      <c r="P361" s="9">
        <v>1</v>
      </c>
      <c r="Q361" s="9"/>
      <c r="R361" s="9"/>
      <c r="S361" s="9" t="s">
        <v>1569</v>
      </c>
    </row>
    <row r="362" spans="1:19">
      <c r="A362" s="9" t="s">
        <v>29</v>
      </c>
      <c r="B362" s="9" t="s">
        <v>1561</v>
      </c>
      <c r="C362" s="9" t="s">
        <v>30</v>
      </c>
      <c r="D362" s="9" t="s">
        <v>2071</v>
      </c>
      <c r="E362" s="9" t="s">
        <v>2072</v>
      </c>
      <c r="F362" s="9" t="s">
        <v>2073</v>
      </c>
      <c r="G362" s="9" t="s">
        <v>2072</v>
      </c>
      <c r="H362" s="9" t="s">
        <v>2074</v>
      </c>
      <c r="I362" s="9">
        <v>2017</v>
      </c>
      <c r="J362" s="9" t="s">
        <v>130</v>
      </c>
      <c r="K362" s="9" t="s">
        <v>2075</v>
      </c>
      <c r="L362" s="9" t="s">
        <v>1934</v>
      </c>
      <c r="M362" s="9" t="s">
        <v>2076</v>
      </c>
      <c r="N362" s="9" t="s">
        <v>2076</v>
      </c>
      <c r="O362" s="9" t="s">
        <v>113</v>
      </c>
      <c r="P362" s="9">
        <v>1</v>
      </c>
      <c r="Q362" s="9"/>
      <c r="R362" s="9"/>
      <c r="S362" s="9" t="s">
        <v>1569</v>
      </c>
    </row>
    <row r="363" spans="1:19">
      <c r="A363" s="9" t="s">
        <v>29</v>
      </c>
      <c r="B363" s="9" t="s">
        <v>1561</v>
      </c>
      <c r="C363" s="9" t="s">
        <v>30</v>
      </c>
      <c r="D363" s="9" t="s">
        <v>2077</v>
      </c>
      <c r="E363" s="9" t="s">
        <v>2078</v>
      </c>
      <c r="F363" s="9" t="s">
        <v>1722</v>
      </c>
      <c r="G363" s="9" t="s">
        <v>2078</v>
      </c>
      <c r="H363" s="9" t="s">
        <v>2034</v>
      </c>
      <c r="I363" s="9">
        <v>2017</v>
      </c>
      <c r="J363" s="9" t="s">
        <v>130</v>
      </c>
      <c r="K363" s="9" t="s">
        <v>2079</v>
      </c>
      <c r="L363" s="9" t="s">
        <v>2080</v>
      </c>
      <c r="M363" s="9" t="s">
        <v>1726</v>
      </c>
      <c r="N363" s="9" t="s">
        <v>1726</v>
      </c>
      <c r="O363" s="9" t="s">
        <v>113</v>
      </c>
      <c r="P363" s="9">
        <v>1</v>
      </c>
      <c r="Q363" s="9"/>
      <c r="R363" s="9"/>
      <c r="S363" s="9" t="s">
        <v>1569</v>
      </c>
    </row>
    <row r="364" spans="1:19">
      <c r="A364" s="9" t="s">
        <v>29</v>
      </c>
      <c r="B364" s="9" t="s">
        <v>1561</v>
      </c>
      <c r="C364" s="9" t="s">
        <v>30</v>
      </c>
      <c r="D364" s="9" t="s">
        <v>2081</v>
      </c>
      <c r="E364" s="9" t="s">
        <v>2082</v>
      </c>
      <c r="F364" s="9" t="s">
        <v>2083</v>
      </c>
      <c r="G364" s="9" t="s">
        <v>2082</v>
      </c>
      <c r="H364" s="9" t="s">
        <v>1723</v>
      </c>
      <c r="I364" s="9">
        <v>2017</v>
      </c>
      <c r="J364" s="9" t="s">
        <v>130</v>
      </c>
      <c r="K364" s="9" t="s">
        <v>2084</v>
      </c>
      <c r="L364" s="9" t="s">
        <v>2085</v>
      </c>
      <c r="M364" s="9" t="s">
        <v>1726</v>
      </c>
      <c r="N364" s="9" t="s">
        <v>1726</v>
      </c>
      <c r="O364" s="9" t="s">
        <v>113</v>
      </c>
      <c r="P364" s="9">
        <v>1</v>
      </c>
      <c r="Q364" s="9"/>
      <c r="R364" s="9"/>
      <c r="S364" s="9" t="s">
        <v>1569</v>
      </c>
    </row>
    <row r="365" spans="1:19">
      <c r="A365" s="9" t="s">
        <v>29</v>
      </c>
      <c r="B365" s="9" t="s">
        <v>1561</v>
      </c>
      <c r="C365" s="9" t="s">
        <v>30</v>
      </c>
      <c r="D365" s="9" t="s">
        <v>2086</v>
      </c>
      <c r="E365" s="9" t="s">
        <v>2087</v>
      </c>
      <c r="F365" s="9" t="s">
        <v>2088</v>
      </c>
      <c r="G365" s="9" t="s">
        <v>2087</v>
      </c>
      <c r="H365" s="9" t="s">
        <v>1911</v>
      </c>
      <c r="I365" s="9">
        <v>2019</v>
      </c>
      <c r="J365" s="9" t="s">
        <v>130</v>
      </c>
      <c r="K365" s="9" t="s">
        <v>2089</v>
      </c>
      <c r="L365" s="9" t="s">
        <v>2090</v>
      </c>
      <c r="M365" s="9" t="s">
        <v>1767</v>
      </c>
      <c r="N365" s="9" t="s">
        <v>1767</v>
      </c>
      <c r="O365" s="9" t="s">
        <v>113</v>
      </c>
      <c r="P365" s="9">
        <v>1</v>
      </c>
      <c r="Q365" s="9"/>
      <c r="R365" s="9"/>
      <c r="S365" s="9" t="s">
        <v>1569</v>
      </c>
    </row>
    <row r="366" spans="1:19">
      <c r="A366" s="9" t="s">
        <v>29</v>
      </c>
      <c r="B366" s="9" t="s">
        <v>1561</v>
      </c>
      <c r="C366" s="9" t="s">
        <v>30</v>
      </c>
      <c r="D366" s="9" t="s">
        <v>2091</v>
      </c>
      <c r="E366" s="9" t="s">
        <v>2092</v>
      </c>
      <c r="F366" s="9" t="s">
        <v>1916</v>
      </c>
      <c r="G366" s="9" t="s">
        <v>2092</v>
      </c>
      <c r="H366" s="9" t="s">
        <v>1823</v>
      </c>
      <c r="I366" s="9">
        <v>2020</v>
      </c>
      <c r="J366" s="9" t="s">
        <v>130</v>
      </c>
      <c r="K366" s="9" t="s">
        <v>2093</v>
      </c>
      <c r="L366" s="9" t="s">
        <v>2094</v>
      </c>
      <c r="M366" s="9" t="s">
        <v>1759</v>
      </c>
      <c r="N366" s="9" t="s">
        <v>1759</v>
      </c>
      <c r="O366" s="9" t="s">
        <v>113</v>
      </c>
      <c r="P366" s="9">
        <v>1</v>
      </c>
      <c r="Q366" s="9"/>
      <c r="R366" s="9"/>
      <c r="S366" s="9" t="s">
        <v>1569</v>
      </c>
    </row>
    <row r="367" spans="1:19">
      <c r="A367" s="9" t="s">
        <v>29</v>
      </c>
      <c r="B367" s="9" t="s">
        <v>1561</v>
      </c>
      <c r="C367" s="9" t="s">
        <v>30</v>
      </c>
      <c r="D367" s="9" t="s">
        <v>2095</v>
      </c>
      <c r="E367" s="9" t="s">
        <v>2096</v>
      </c>
      <c r="F367" s="9" t="s">
        <v>2097</v>
      </c>
      <c r="G367" s="9" t="s">
        <v>2096</v>
      </c>
      <c r="H367" s="9" t="s">
        <v>2098</v>
      </c>
      <c r="I367" s="9">
        <v>2023</v>
      </c>
      <c r="J367" s="9" t="s">
        <v>130</v>
      </c>
      <c r="K367" s="9" t="s">
        <v>2099</v>
      </c>
      <c r="L367" s="9" t="s">
        <v>2100</v>
      </c>
      <c r="M367" s="9" t="s">
        <v>1767</v>
      </c>
      <c r="N367" s="9" t="s">
        <v>1767</v>
      </c>
      <c r="O367" s="9" t="s">
        <v>113</v>
      </c>
      <c r="P367" s="9">
        <v>1</v>
      </c>
      <c r="Q367" s="9"/>
      <c r="R367" s="9"/>
      <c r="S367" s="9" t="s">
        <v>1569</v>
      </c>
    </row>
    <row r="368" spans="1:19">
      <c r="A368" s="9" t="s">
        <v>29</v>
      </c>
      <c r="B368" s="9" t="s">
        <v>1561</v>
      </c>
      <c r="C368" s="9" t="s">
        <v>30</v>
      </c>
      <c r="D368" s="9" t="s">
        <v>2101</v>
      </c>
      <c r="E368" s="9" t="s">
        <v>2102</v>
      </c>
      <c r="F368" s="9" t="s">
        <v>2103</v>
      </c>
      <c r="G368" s="9" t="s">
        <v>2104</v>
      </c>
      <c r="H368" s="9" t="s">
        <v>1973</v>
      </c>
      <c r="I368" s="9">
        <v>2017</v>
      </c>
      <c r="J368" s="9" t="s">
        <v>158</v>
      </c>
      <c r="K368" s="9" t="s">
        <v>2105</v>
      </c>
      <c r="L368" s="9" t="s">
        <v>2106</v>
      </c>
      <c r="M368" s="9" t="s">
        <v>1767</v>
      </c>
      <c r="N368" s="9" t="s">
        <v>1767</v>
      </c>
      <c r="O368" s="9" t="s">
        <v>113</v>
      </c>
      <c r="P368" s="9">
        <v>1</v>
      </c>
      <c r="Q368" s="9"/>
      <c r="R368" s="9"/>
      <c r="S368" s="9" t="s">
        <v>1569</v>
      </c>
    </row>
    <row r="369" spans="1:19">
      <c r="A369" s="9" t="s">
        <v>29</v>
      </c>
      <c r="B369" s="9" t="s">
        <v>1561</v>
      </c>
      <c r="C369" s="9" t="s">
        <v>30</v>
      </c>
      <c r="D369" s="9" t="s">
        <v>2107</v>
      </c>
      <c r="E369" s="9" t="s">
        <v>2108</v>
      </c>
      <c r="F369" s="9" t="s">
        <v>2109</v>
      </c>
      <c r="G369" s="9" t="s">
        <v>2110</v>
      </c>
      <c r="H369" s="9" t="s">
        <v>1901</v>
      </c>
      <c r="I369" s="9">
        <v>2017</v>
      </c>
      <c r="J369" s="9" t="s">
        <v>158</v>
      </c>
      <c r="K369" s="9" t="s">
        <v>2111</v>
      </c>
      <c r="L369" s="9" t="s">
        <v>2112</v>
      </c>
      <c r="M369" s="9" t="s">
        <v>1759</v>
      </c>
      <c r="N369" s="9" t="s">
        <v>1759</v>
      </c>
      <c r="O369" s="9" t="s">
        <v>113</v>
      </c>
      <c r="P369" s="9">
        <v>1</v>
      </c>
      <c r="Q369" s="9"/>
      <c r="R369" s="9"/>
      <c r="S369" s="9" t="s">
        <v>1569</v>
      </c>
    </row>
    <row r="370" spans="1:19">
      <c r="A370" s="9" t="s">
        <v>29</v>
      </c>
      <c r="B370" s="9" t="s">
        <v>1561</v>
      </c>
      <c r="C370" s="9" t="s">
        <v>30</v>
      </c>
      <c r="D370" s="9" t="s">
        <v>2113</v>
      </c>
      <c r="E370" s="9" t="s">
        <v>2114</v>
      </c>
      <c r="F370" s="9" t="s">
        <v>2115</v>
      </c>
      <c r="G370" s="9" t="s">
        <v>2116</v>
      </c>
      <c r="H370" s="9" t="s">
        <v>2117</v>
      </c>
      <c r="I370" s="9">
        <v>2017</v>
      </c>
      <c r="J370" s="9" t="s">
        <v>158</v>
      </c>
      <c r="K370" s="9" t="s">
        <v>2075</v>
      </c>
      <c r="L370" s="9" t="s">
        <v>2118</v>
      </c>
      <c r="M370" s="9" t="s">
        <v>1759</v>
      </c>
      <c r="N370" s="9" t="s">
        <v>1759</v>
      </c>
      <c r="O370" s="9" t="s">
        <v>113</v>
      </c>
      <c r="P370" s="9">
        <v>1</v>
      </c>
      <c r="Q370" s="9"/>
      <c r="R370" s="9"/>
      <c r="S370" s="9" t="s">
        <v>1569</v>
      </c>
    </row>
    <row r="371" spans="1:19">
      <c r="A371" s="9" t="s">
        <v>41</v>
      </c>
      <c r="B371" s="9" t="s">
        <v>2119</v>
      </c>
      <c r="C371" s="9" t="s">
        <v>42</v>
      </c>
      <c r="D371" s="9" t="s">
        <v>2120</v>
      </c>
      <c r="E371" s="9" t="s">
        <v>2121</v>
      </c>
      <c r="F371" s="9" t="s">
        <v>637</v>
      </c>
      <c r="G371" s="9" t="s">
        <v>2121</v>
      </c>
      <c r="H371" s="9" t="s">
        <v>632</v>
      </c>
      <c r="I371" s="9">
        <v>2023</v>
      </c>
      <c r="J371" s="9" t="s">
        <v>130</v>
      </c>
      <c r="K371" s="9" t="s">
        <v>2122</v>
      </c>
      <c r="L371" s="9" t="s">
        <v>2123</v>
      </c>
      <c r="M371" s="9" t="s">
        <v>2124</v>
      </c>
      <c r="N371" s="9" t="s">
        <v>2124</v>
      </c>
      <c r="O371" s="9" t="s">
        <v>113</v>
      </c>
      <c r="P371" s="9">
        <v>1</v>
      </c>
      <c r="Q371" s="9"/>
      <c r="R371" s="9"/>
      <c r="S371" s="9" t="s">
        <v>2125</v>
      </c>
    </row>
    <row r="372" spans="1:19">
      <c r="A372" s="9" t="s">
        <v>41</v>
      </c>
      <c r="B372" s="9" t="s">
        <v>2119</v>
      </c>
      <c r="C372" s="9" t="s">
        <v>42</v>
      </c>
      <c r="D372" s="9" t="s">
        <v>2126</v>
      </c>
      <c r="E372" s="9" t="s">
        <v>2127</v>
      </c>
      <c r="F372" s="9" t="s">
        <v>2128</v>
      </c>
      <c r="G372" s="9" t="s">
        <v>2127</v>
      </c>
      <c r="H372" s="9" t="s">
        <v>752</v>
      </c>
      <c r="I372" s="9">
        <v>2023</v>
      </c>
      <c r="J372" s="9" t="s">
        <v>130</v>
      </c>
      <c r="K372" s="9" t="s">
        <v>2129</v>
      </c>
      <c r="L372" s="9" t="s">
        <v>2130</v>
      </c>
      <c r="M372" s="9" t="s">
        <v>2124</v>
      </c>
      <c r="N372" s="9" t="s">
        <v>2124</v>
      </c>
      <c r="O372" s="9" t="s">
        <v>113</v>
      </c>
      <c r="P372" s="9">
        <v>1</v>
      </c>
      <c r="Q372" s="9"/>
      <c r="R372" s="9"/>
      <c r="S372" s="9" t="s">
        <v>2125</v>
      </c>
    </row>
    <row r="373" spans="1:19">
      <c r="A373" s="9" t="s">
        <v>41</v>
      </c>
      <c r="B373" s="9" t="s">
        <v>2119</v>
      </c>
      <c r="C373" s="9" t="s">
        <v>42</v>
      </c>
      <c r="D373" s="9" t="s">
        <v>2131</v>
      </c>
      <c r="E373" s="9" t="s">
        <v>2132</v>
      </c>
      <c r="F373" s="9" t="s">
        <v>603</v>
      </c>
      <c r="G373" s="9" t="s">
        <v>2132</v>
      </c>
      <c r="H373" s="9" t="s">
        <v>570</v>
      </c>
      <c r="I373" s="9">
        <v>2023</v>
      </c>
      <c r="J373" s="9" t="s">
        <v>130</v>
      </c>
      <c r="K373" s="9" t="s">
        <v>2133</v>
      </c>
      <c r="L373" s="9" t="s">
        <v>2134</v>
      </c>
      <c r="M373" s="9" t="s">
        <v>2135</v>
      </c>
      <c r="N373" s="9" t="s">
        <v>2135</v>
      </c>
      <c r="O373" s="9" t="s">
        <v>113</v>
      </c>
      <c r="P373" s="9">
        <v>1</v>
      </c>
      <c r="Q373" s="9"/>
      <c r="R373" s="9"/>
      <c r="S373" s="9" t="s">
        <v>2125</v>
      </c>
    </row>
    <row r="374" spans="1:19">
      <c r="A374" s="9" t="s">
        <v>41</v>
      </c>
      <c r="B374" s="9" t="s">
        <v>2119</v>
      </c>
      <c r="C374" s="9" t="s">
        <v>42</v>
      </c>
      <c r="D374" s="9" t="s">
        <v>2136</v>
      </c>
      <c r="E374" s="9" t="s">
        <v>2137</v>
      </c>
      <c r="F374" s="9" t="s">
        <v>2138</v>
      </c>
      <c r="G374" s="9" t="s">
        <v>2137</v>
      </c>
      <c r="H374" s="9" t="s">
        <v>752</v>
      </c>
      <c r="I374" s="9">
        <v>2023</v>
      </c>
      <c r="J374" s="9" t="s">
        <v>130</v>
      </c>
      <c r="K374" s="9" t="s">
        <v>2139</v>
      </c>
      <c r="L374" s="9" t="s">
        <v>2140</v>
      </c>
      <c r="M374" s="9" t="s">
        <v>2124</v>
      </c>
      <c r="N374" s="9" t="s">
        <v>2124</v>
      </c>
      <c r="O374" s="9" t="s">
        <v>113</v>
      </c>
      <c r="P374" s="9">
        <v>1</v>
      </c>
      <c r="Q374" s="9"/>
      <c r="R374" s="9"/>
      <c r="S374" s="9" t="s">
        <v>2125</v>
      </c>
    </row>
    <row r="375" spans="1:19">
      <c r="A375" s="9" t="s">
        <v>41</v>
      </c>
      <c r="B375" s="9" t="s">
        <v>2119</v>
      </c>
      <c r="C375" s="9" t="s">
        <v>42</v>
      </c>
      <c r="D375" s="9" t="s">
        <v>2141</v>
      </c>
      <c r="E375" s="9" t="s">
        <v>2142</v>
      </c>
      <c r="F375" s="9" t="s">
        <v>373</v>
      </c>
      <c r="G375" s="9" t="s">
        <v>2142</v>
      </c>
      <c r="H375" s="9" t="s">
        <v>401</v>
      </c>
      <c r="I375" s="9">
        <v>2022</v>
      </c>
      <c r="J375" s="9" t="s">
        <v>130</v>
      </c>
      <c r="K375" s="9" t="s">
        <v>2143</v>
      </c>
      <c r="L375" s="9" t="s">
        <v>2144</v>
      </c>
      <c r="M375" s="9" t="s">
        <v>2124</v>
      </c>
      <c r="N375" s="9" t="s">
        <v>2124</v>
      </c>
      <c r="O375" s="9" t="s">
        <v>113</v>
      </c>
      <c r="P375" s="9">
        <v>1</v>
      </c>
      <c r="Q375" s="9"/>
      <c r="R375" s="9"/>
      <c r="S375" s="9" t="s">
        <v>2125</v>
      </c>
    </row>
    <row r="376" spans="1:19">
      <c r="A376" s="9" t="s">
        <v>41</v>
      </c>
      <c r="B376" s="9" t="s">
        <v>2119</v>
      </c>
      <c r="C376" s="9" t="s">
        <v>42</v>
      </c>
      <c r="D376" s="9" t="s">
        <v>2145</v>
      </c>
      <c r="E376" s="9" t="s">
        <v>2146</v>
      </c>
      <c r="F376" s="9" t="s">
        <v>570</v>
      </c>
      <c r="G376" s="9" t="s">
        <v>2146</v>
      </c>
      <c r="H376" s="9" t="s">
        <v>2147</v>
      </c>
      <c r="I376" s="9">
        <v>2023</v>
      </c>
      <c r="J376" s="9" t="s">
        <v>130</v>
      </c>
      <c r="K376" s="9" t="s">
        <v>2148</v>
      </c>
      <c r="L376" s="9" t="s">
        <v>2149</v>
      </c>
      <c r="M376" s="9" t="s">
        <v>2124</v>
      </c>
      <c r="N376" s="9" t="s">
        <v>2124</v>
      </c>
      <c r="O376" s="9" t="s">
        <v>113</v>
      </c>
      <c r="P376" s="9">
        <v>1</v>
      </c>
      <c r="Q376" s="9"/>
      <c r="R376" s="9"/>
      <c r="S376" s="9" t="s">
        <v>2125</v>
      </c>
    </row>
    <row r="377" spans="1:19">
      <c r="A377" s="9" t="s">
        <v>41</v>
      </c>
      <c r="B377" s="9" t="s">
        <v>2119</v>
      </c>
      <c r="C377" s="9" t="s">
        <v>42</v>
      </c>
      <c r="D377" s="9" t="s">
        <v>2150</v>
      </c>
      <c r="E377" s="9" t="s">
        <v>2151</v>
      </c>
      <c r="F377" s="9" t="s">
        <v>772</v>
      </c>
      <c r="G377" s="9" t="s">
        <v>2151</v>
      </c>
      <c r="H377" s="9" t="s">
        <v>752</v>
      </c>
      <c r="I377" s="9">
        <v>2023</v>
      </c>
      <c r="J377" s="9" t="s">
        <v>130</v>
      </c>
      <c r="K377" s="9" t="s">
        <v>2152</v>
      </c>
      <c r="L377" s="9" t="s">
        <v>2153</v>
      </c>
      <c r="M377" s="9" t="s">
        <v>2124</v>
      </c>
      <c r="N377" s="9" t="s">
        <v>2124</v>
      </c>
      <c r="O377" s="9" t="s">
        <v>113</v>
      </c>
      <c r="P377" s="9">
        <v>1</v>
      </c>
      <c r="Q377" s="9"/>
      <c r="R377" s="9"/>
      <c r="S377" s="9" t="s">
        <v>2125</v>
      </c>
    </row>
    <row r="378" spans="1:19">
      <c r="A378" s="9" t="s">
        <v>41</v>
      </c>
      <c r="B378" s="9" t="s">
        <v>2119</v>
      </c>
      <c r="C378" s="9" t="s">
        <v>42</v>
      </c>
      <c r="D378" s="9" t="s">
        <v>2154</v>
      </c>
      <c r="E378" s="9" t="s">
        <v>2155</v>
      </c>
      <c r="F378" s="9" t="s">
        <v>2156</v>
      </c>
      <c r="G378" s="9" t="s">
        <v>2155</v>
      </c>
      <c r="H378" s="9" t="s">
        <v>741</v>
      </c>
      <c r="I378" s="9">
        <v>2023</v>
      </c>
      <c r="J378" s="9" t="s">
        <v>130</v>
      </c>
      <c r="K378" s="9" t="s">
        <v>2157</v>
      </c>
      <c r="L378" s="9" t="s">
        <v>2158</v>
      </c>
      <c r="M378" s="9" t="s">
        <v>2124</v>
      </c>
      <c r="N378" s="9" t="s">
        <v>2124</v>
      </c>
      <c r="O378" s="9" t="s">
        <v>113</v>
      </c>
      <c r="P378" s="9">
        <v>1</v>
      </c>
      <c r="Q378" s="9"/>
      <c r="R378" s="9"/>
      <c r="S378" s="9" t="s">
        <v>2125</v>
      </c>
    </row>
    <row r="379" spans="1:19">
      <c r="A379" s="9" t="s">
        <v>41</v>
      </c>
      <c r="B379" s="9" t="s">
        <v>2119</v>
      </c>
      <c r="C379" s="9" t="s">
        <v>42</v>
      </c>
      <c r="D379" s="9" t="s">
        <v>2159</v>
      </c>
      <c r="E379" s="9" t="s">
        <v>2160</v>
      </c>
      <c r="F379" s="9" t="s">
        <v>2161</v>
      </c>
      <c r="G379" s="9" t="s">
        <v>2160</v>
      </c>
      <c r="H379" s="9" t="s">
        <v>752</v>
      </c>
      <c r="I379" s="9">
        <v>2023</v>
      </c>
      <c r="J379" s="9" t="s">
        <v>130</v>
      </c>
      <c r="K379" s="9" t="s">
        <v>2162</v>
      </c>
      <c r="L379" s="9" t="s">
        <v>2163</v>
      </c>
      <c r="M379" s="9" t="s">
        <v>2124</v>
      </c>
      <c r="N379" s="9" t="s">
        <v>2124</v>
      </c>
      <c r="O379" s="9" t="s">
        <v>113</v>
      </c>
      <c r="P379" s="9">
        <v>1</v>
      </c>
      <c r="Q379" s="9"/>
      <c r="R379" s="9"/>
      <c r="S379" s="9" t="s">
        <v>2125</v>
      </c>
    </row>
    <row r="380" spans="1:19">
      <c r="A380" s="9" t="s">
        <v>41</v>
      </c>
      <c r="B380" s="9" t="s">
        <v>2119</v>
      </c>
      <c r="C380" s="9" t="s">
        <v>42</v>
      </c>
      <c r="D380" s="9" t="s">
        <v>2164</v>
      </c>
      <c r="E380" s="9" t="s">
        <v>2165</v>
      </c>
      <c r="F380" s="9" t="s">
        <v>2166</v>
      </c>
      <c r="G380" s="9" t="s">
        <v>2165</v>
      </c>
      <c r="H380" s="9" t="s">
        <v>493</v>
      </c>
      <c r="I380" s="9">
        <v>2023</v>
      </c>
      <c r="J380" s="9" t="s">
        <v>130</v>
      </c>
      <c r="K380" s="9" t="s">
        <v>2167</v>
      </c>
      <c r="L380" s="9" t="s">
        <v>2168</v>
      </c>
      <c r="M380" s="9" t="s">
        <v>2124</v>
      </c>
      <c r="N380" s="9" t="s">
        <v>2124</v>
      </c>
      <c r="O380" s="9" t="s">
        <v>113</v>
      </c>
      <c r="P380" s="9">
        <v>1</v>
      </c>
      <c r="Q380" s="9"/>
      <c r="R380" s="9"/>
      <c r="S380" s="9" t="s">
        <v>2125</v>
      </c>
    </row>
    <row r="381" spans="1:19">
      <c r="A381" s="9" t="s">
        <v>41</v>
      </c>
      <c r="B381" s="9" t="s">
        <v>2119</v>
      </c>
      <c r="C381" s="9" t="s">
        <v>42</v>
      </c>
      <c r="D381" s="9" t="s">
        <v>2169</v>
      </c>
      <c r="E381" s="9" t="s">
        <v>2170</v>
      </c>
      <c r="F381" s="9" t="s">
        <v>2171</v>
      </c>
      <c r="G381" s="9" t="s">
        <v>2170</v>
      </c>
      <c r="H381" s="9" t="s">
        <v>752</v>
      </c>
      <c r="I381" s="9">
        <v>2023</v>
      </c>
      <c r="J381" s="9" t="s">
        <v>130</v>
      </c>
      <c r="K381" s="9" t="s">
        <v>2172</v>
      </c>
      <c r="L381" s="9" t="s">
        <v>2173</v>
      </c>
      <c r="M381" s="9" t="s">
        <v>2124</v>
      </c>
      <c r="N381" s="9" t="s">
        <v>2124</v>
      </c>
      <c r="O381" s="9" t="s">
        <v>113</v>
      </c>
      <c r="P381" s="9">
        <v>1</v>
      </c>
      <c r="Q381" s="9"/>
      <c r="R381" s="9"/>
      <c r="S381" s="9" t="s">
        <v>2125</v>
      </c>
    </row>
    <row r="382" spans="1:19">
      <c r="A382" s="9" t="s">
        <v>41</v>
      </c>
      <c r="B382" s="9" t="s">
        <v>2119</v>
      </c>
      <c r="C382" s="9" t="s">
        <v>42</v>
      </c>
      <c r="D382" s="9" t="s">
        <v>2174</v>
      </c>
      <c r="E382" s="9" t="s">
        <v>2175</v>
      </c>
      <c r="F382" s="9" t="s">
        <v>631</v>
      </c>
      <c r="G382" s="9" t="s">
        <v>2175</v>
      </c>
      <c r="H382" s="9" t="s">
        <v>632</v>
      </c>
      <c r="I382" s="9">
        <v>2023</v>
      </c>
      <c r="J382" s="9" t="s">
        <v>130</v>
      </c>
      <c r="K382" s="9" t="s">
        <v>2176</v>
      </c>
      <c r="L382" s="9" t="s">
        <v>2134</v>
      </c>
      <c r="M382" s="9" t="s">
        <v>2124</v>
      </c>
      <c r="N382" s="9" t="s">
        <v>2124</v>
      </c>
      <c r="O382" s="9" t="s">
        <v>113</v>
      </c>
      <c r="P382" s="9">
        <v>1</v>
      </c>
      <c r="Q382" s="9"/>
      <c r="R382" s="9"/>
      <c r="S382" s="9" t="s">
        <v>2125</v>
      </c>
    </row>
    <row r="383" spans="1:19">
      <c r="A383" s="9" t="s">
        <v>41</v>
      </c>
      <c r="B383" s="9" t="s">
        <v>2119</v>
      </c>
      <c r="C383" s="9" t="s">
        <v>42</v>
      </c>
      <c r="D383" s="9" t="s">
        <v>2177</v>
      </c>
      <c r="E383" s="9" t="s">
        <v>2178</v>
      </c>
      <c r="F383" s="9" t="s">
        <v>642</v>
      </c>
      <c r="G383" s="9" t="s">
        <v>2178</v>
      </c>
      <c r="H383" s="9" t="s">
        <v>632</v>
      </c>
      <c r="I383" s="9">
        <v>2023</v>
      </c>
      <c r="J383" s="9" t="s">
        <v>130</v>
      </c>
      <c r="K383" s="9" t="s">
        <v>2179</v>
      </c>
      <c r="L383" s="9" t="s">
        <v>2180</v>
      </c>
      <c r="M383" s="9" t="s">
        <v>2124</v>
      </c>
      <c r="N383" s="9" t="s">
        <v>2124</v>
      </c>
      <c r="O383" s="9" t="s">
        <v>113</v>
      </c>
      <c r="P383" s="9">
        <v>1</v>
      </c>
      <c r="Q383" s="9"/>
      <c r="R383" s="9"/>
      <c r="S383" s="9" t="s">
        <v>2125</v>
      </c>
    </row>
    <row r="384" spans="1:19">
      <c r="A384" s="9" t="s">
        <v>41</v>
      </c>
      <c r="B384" s="9" t="s">
        <v>2119</v>
      </c>
      <c r="C384" s="9" t="s">
        <v>42</v>
      </c>
      <c r="D384" s="9" t="s">
        <v>2181</v>
      </c>
      <c r="E384" s="9" t="s">
        <v>2182</v>
      </c>
      <c r="F384" s="9" t="s">
        <v>2183</v>
      </c>
      <c r="G384" s="9" t="s">
        <v>2182</v>
      </c>
      <c r="H384" s="9" t="s">
        <v>846</v>
      </c>
      <c r="I384" s="9">
        <v>2023</v>
      </c>
      <c r="J384" s="9" t="s">
        <v>130</v>
      </c>
      <c r="K384" s="9" t="s">
        <v>2184</v>
      </c>
      <c r="L384" s="9" t="s">
        <v>2185</v>
      </c>
      <c r="M384" s="9" t="s">
        <v>2135</v>
      </c>
      <c r="N384" s="9" t="s">
        <v>2135</v>
      </c>
      <c r="O384" s="9" t="s">
        <v>113</v>
      </c>
      <c r="P384" s="9">
        <v>1</v>
      </c>
      <c r="Q384" s="9"/>
      <c r="R384" s="9"/>
      <c r="S384" s="9" t="s">
        <v>2125</v>
      </c>
    </row>
    <row r="385" spans="1:19">
      <c r="A385" s="9" t="s">
        <v>41</v>
      </c>
      <c r="B385" s="9" t="s">
        <v>2119</v>
      </c>
      <c r="C385" s="9" t="s">
        <v>42</v>
      </c>
      <c r="D385" s="9" t="s">
        <v>2186</v>
      </c>
      <c r="E385" s="9" t="s">
        <v>2187</v>
      </c>
      <c r="F385" s="9" t="s">
        <v>2188</v>
      </c>
      <c r="G385" s="9" t="s">
        <v>2187</v>
      </c>
      <c r="H385" s="9" t="s">
        <v>632</v>
      </c>
      <c r="I385" s="9">
        <v>2023</v>
      </c>
      <c r="J385" s="9" t="s">
        <v>130</v>
      </c>
      <c r="K385" s="9" t="s">
        <v>2189</v>
      </c>
      <c r="L385" s="9" t="s">
        <v>2190</v>
      </c>
      <c r="M385" s="9" t="s">
        <v>2124</v>
      </c>
      <c r="N385" s="9" t="s">
        <v>2124</v>
      </c>
      <c r="O385" s="9" t="s">
        <v>113</v>
      </c>
      <c r="P385" s="9">
        <v>1</v>
      </c>
      <c r="Q385" s="9"/>
      <c r="R385" s="9"/>
      <c r="S385" s="9" t="s">
        <v>2125</v>
      </c>
    </row>
    <row r="386" spans="1:19">
      <c r="A386" s="9" t="s">
        <v>41</v>
      </c>
      <c r="B386" s="9" t="s">
        <v>2119</v>
      </c>
      <c r="C386" s="9" t="s">
        <v>42</v>
      </c>
      <c r="D386" s="9" t="s">
        <v>2191</v>
      </c>
      <c r="E386" s="9" t="s">
        <v>2192</v>
      </c>
      <c r="F386" s="9" t="s">
        <v>2193</v>
      </c>
      <c r="G386" s="9" t="s">
        <v>2192</v>
      </c>
      <c r="H386" s="9" t="s">
        <v>2194</v>
      </c>
      <c r="I386" s="9">
        <v>2023</v>
      </c>
      <c r="J386" s="9" t="s">
        <v>130</v>
      </c>
      <c r="K386" s="9" t="s">
        <v>2195</v>
      </c>
      <c r="L386" s="9" t="s">
        <v>2196</v>
      </c>
      <c r="M386" s="9" t="s">
        <v>2135</v>
      </c>
      <c r="N386" s="9" t="s">
        <v>2135</v>
      </c>
      <c r="O386" s="9" t="s">
        <v>113</v>
      </c>
      <c r="P386" s="9">
        <v>1</v>
      </c>
      <c r="Q386" s="9"/>
      <c r="R386" s="9"/>
      <c r="S386" s="9" t="s">
        <v>2125</v>
      </c>
    </row>
    <row r="387" spans="1:19">
      <c r="A387" s="9" t="s">
        <v>41</v>
      </c>
      <c r="B387" s="9" t="s">
        <v>2119</v>
      </c>
      <c r="C387" s="9" t="s">
        <v>42</v>
      </c>
      <c r="D387" s="9" t="s">
        <v>2197</v>
      </c>
      <c r="E387" s="9" t="s">
        <v>2198</v>
      </c>
      <c r="F387" s="9" t="s">
        <v>2199</v>
      </c>
      <c r="G387" s="9" t="s">
        <v>2198</v>
      </c>
      <c r="H387" s="9" t="s">
        <v>2147</v>
      </c>
      <c r="I387" s="9">
        <v>2023</v>
      </c>
      <c r="J387" s="9" t="s">
        <v>130</v>
      </c>
      <c r="K387" s="9" t="s">
        <v>2200</v>
      </c>
      <c r="L387" s="9" t="s">
        <v>2201</v>
      </c>
      <c r="M387" s="9" t="s">
        <v>2135</v>
      </c>
      <c r="N387" s="9" t="s">
        <v>2135</v>
      </c>
      <c r="O387" s="9" t="s">
        <v>113</v>
      </c>
      <c r="P387" s="9">
        <v>1</v>
      </c>
      <c r="Q387" s="9"/>
      <c r="R387" s="9"/>
      <c r="S387" s="9" t="s">
        <v>2125</v>
      </c>
    </row>
    <row r="388" spans="1:19">
      <c r="A388" s="9" t="s">
        <v>41</v>
      </c>
      <c r="B388" s="9" t="s">
        <v>2119</v>
      </c>
      <c r="C388" s="9" t="s">
        <v>42</v>
      </c>
      <c r="D388" s="9" t="s">
        <v>2202</v>
      </c>
      <c r="E388" s="9" t="s">
        <v>2203</v>
      </c>
      <c r="F388" s="9" t="s">
        <v>2204</v>
      </c>
      <c r="G388" s="9" t="s">
        <v>2203</v>
      </c>
      <c r="H388" s="9" t="s">
        <v>752</v>
      </c>
      <c r="I388" s="9">
        <v>2023</v>
      </c>
      <c r="J388" s="9" t="s">
        <v>130</v>
      </c>
      <c r="K388" s="9" t="s">
        <v>2205</v>
      </c>
      <c r="L388" s="9" t="s">
        <v>2206</v>
      </c>
      <c r="M388" s="9" t="s">
        <v>2124</v>
      </c>
      <c r="N388" s="9" t="s">
        <v>2124</v>
      </c>
      <c r="O388" s="9" t="s">
        <v>113</v>
      </c>
      <c r="P388" s="9">
        <v>1</v>
      </c>
      <c r="Q388" s="9"/>
      <c r="R388" s="9"/>
      <c r="S388" s="9" t="s">
        <v>2125</v>
      </c>
    </row>
    <row r="389" spans="1:19">
      <c r="A389" s="9" t="s">
        <v>41</v>
      </c>
      <c r="B389" s="9" t="s">
        <v>2119</v>
      </c>
      <c r="C389" s="9" t="s">
        <v>42</v>
      </c>
      <c r="D389" s="9" t="s">
        <v>2207</v>
      </c>
      <c r="E389" s="9" t="s">
        <v>2208</v>
      </c>
      <c r="F389" s="9" t="s">
        <v>786</v>
      </c>
      <c r="G389" s="9" t="s">
        <v>2208</v>
      </c>
      <c r="H389" s="9" t="s">
        <v>752</v>
      </c>
      <c r="I389" s="9">
        <v>2023</v>
      </c>
      <c r="J389" s="9" t="s">
        <v>130</v>
      </c>
      <c r="K389" s="9" t="s">
        <v>2209</v>
      </c>
      <c r="L389" s="9" t="s">
        <v>2210</v>
      </c>
      <c r="M389" s="9" t="s">
        <v>2124</v>
      </c>
      <c r="N389" s="9" t="s">
        <v>2124</v>
      </c>
      <c r="O389" s="9" t="s">
        <v>113</v>
      </c>
      <c r="P389" s="9">
        <v>1</v>
      </c>
      <c r="Q389" s="9"/>
      <c r="R389" s="9"/>
      <c r="S389" s="9" t="s">
        <v>2125</v>
      </c>
    </row>
    <row r="390" spans="1:19">
      <c r="A390" s="9" t="s">
        <v>41</v>
      </c>
      <c r="B390" s="9" t="s">
        <v>2119</v>
      </c>
      <c r="C390" s="9" t="s">
        <v>42</v>
      </c>
      <c r="D390" s="9" t="s">
        <v>2211</v>
      </c>
      <c r="E390" s="9" t="s">
        <v>2212</v>
      </c>
      <c r="F390" s="9" t="s">
        <v>2213</v>
      </c>
      <c r="G390" s="9" t="s">
        <v>2212</v>
      </c>
      <c r="H390" s="9" t="s">
        <v>752</v>
      </c>
      <c r="I390" s="9">
        <v>2023</v>
      </c>
      <c r="J390" s="9" t="s">
        <v>130</v>
      </c>
      <c r="K390" s="9" t="s">
        <v>2214</v>
      </c>
      <c r="L390" s="9" t="s">
        <v>2215</v>
      </c>
      <c r="M390" s="9" t="s">
        <v>2124</v>
      </c>
      <c r="N390" s="9" t="s">
        <v>2124</v>
      </c>
      <c r="O390" s="9" t="s">
        <v>113</v>
      </c>
      <c r="P390" s="9">
        <v>1</v>
      </c>
      <c r="Q390" s="9"/>
      <c r="R390" s="9"/>
      <c r="S390" s="9" t="s">
        <v>2125</v>
      </c>
    </row>
    <row r="391" spans="1:19">
      <c r="A391" s="9" t="s">
        <v>50</v>
      </c>
      <c r="B391" s="9" t="s">
        <v>2216</v>
      </c>
      <c r="C391" s="9" t="s">
        <v>51</v>
      </c>
      <c r="D391" s="9" t="s">
        <v>2217</v>
      </c>
      <c r="E391" s="9" t="s">
        <v>2218</v>
      </c>
      <c r="F391" s="9" t="s">
        <v>898</v>
      </c>
      <c r="G391" s="9" t="s">
        <v>2219</v>
      </c>
      <c r="H391" s="9" t="s">
        <v>2220</v>
      </c>
      <c r="I391" s="9">
        <v>2025</v>
      </c>
      <c r="J391" s="9" t="s">
        <v>677</v>
      </c>
      <c r="K391" s="9" t="s">
        <v>2221</v>
      </c>
      <c r="L391" s="9" t="s">
        <v>2222</v>
      </c>
      <c r="M391" s="9" t="s">
        <v>2223</v>
      </c>
      <c r="N391" s="9" t="s">
        <v>2223</v>
      </c>
      <c r="O391" s="9" t="s">
        <v>113</v>
      </c>
      <c r="P391" s="9">
        <v>1</v>
      </c>
      <c r="Q391" s="9"/>
      <c r="R391" s="9"/>
      <c r="S391" s="9" t="s">
        <v>2224</v>
      </c>
    </row>
    <row r="392" spans="1:19">
      <c r="A392" s="9" t="s">
        <v>50</v>
      </c>
      <c r="B392" s="9" t="s">
        <v>2216</v>
      </c>
      <c r="C392" s="9" t="s">
        <v>51</v>
      </c>
      <c r="D392" s="9" t="s">
        <v>2225</v>
      </c>
      <c r="E392" s="9" t="s">
        <v>2226</v>
      </c>
      <c r="F392" s="9" t="s">
        <v>898</v>
      </c>
      <c r="G392" s="9" t="s">
        <v>2227</v>
      </c>
      <c r="H392" s="9" t="s">
        <v>2228</v>
      </c>
      <c r="I392" s="9">
        <v>2025</v>
      </c>
      <c r="J392" s="9" t="s">
        <v>1587</v>
      </c>
      <c r="K392" s="9" t="s">
        <v>2229</v>
      </c>
      <c r="L392" s="9" t="s">
        <v>2230</v>
      </c>
      <c r="M392" s="9" t="s">
        <v>2223</v>
      </c>
      <c r="N392" s="9" t="s">
        <v>2223</v>
      </c>
      <c r="O392" s="9" t="s">
        <v>113</v>
      </c>
      <c r="P392" s="9">
        <v>1</v>
      </c>
      <c r="Q392" s="9"/>
      <c r="R392" s="9"/>
      <c r="S392" s="9" t="s">
        <v>2224</v>
      </c>
    </row>
    <row r="393" spans="1:19">
      <c r="A393" s="9" t="s">
        <v>50</v>
      </c>
      <c r="B393" s="9" t="s">
        <v>2216</v>
      </c>
      <c r="C393" s="9" t="s">
        <v>51</v>
      </c>
      <c r="D393" s="9" t="s">
        <v>2231</v>
      </c>
      <c r="E393" s="9" t="s">
        <v>2232</v>
      </c>
      <c r="F393" s="9" t="s">
        <v>898</v>
      </c>
      <c r="G393" s="9" t="s">
        <v>2233</v>
      </c>
      <c r="H393" s="9" t="s">
        <v>2234</v>
      </c>
      <c r="I393" s="9">
        <v>2024</v>
      </c>
      <c r="J393" s="9" t="s">
        <v>158</v>
      </c>
      <c r="K393" s="9" t="s">
        <v>2229</v>
      </c>
      <c r="L393" s="9" t="s">
        <v>2230</v>
      </c>
      <c r="M393" s="9" t="s">
        <v>2223</v>
      </c>
      <c r="N393" s="9" t="s">
        <v>2223</v>
      </c>
      <c r="O393" s="9" t="s">
        <v>113</v>
      </c>
      <c r="P393" s="9">
        <v>1</v>
      </c>
      <c r="Q393" s="9"/>
      <c r="R393" s="9"/>
      <c r="S393" s="9" t="s">
        <v>2224</v>
      </c>
    </row>
    <row r="394" spans="1:19">
      <c r="A394" s="9" t="s">
        <v>50</v>
      </c>
      <c r="B394" s="9" t="s">
        <v>2216</v>
      </c>
      <c r="C394" s="9" t="s">
        <v>51</v>
      </c>
      <c r="D394" s="9" t="s">
        <v>2235</v>
      </c>
      <c r="E394" s="9" t="s">
        <v>2236</v>
      </c>
      <c r="F394" s="9" t="s">
        <v>898</v>
      </c>
      <c r="G394" s="9" t="s">
        <v>2237</v>
      </c>
      <c r="H394" s="9" t="s">
        <v>2238</v>
      </c>
      <c r="I394" s="9">
        <v>2025</v>
      </c>
      <c r="J394" s="9" t="s">
        <v>2239</v>
      </c>
      <c r="K394" s="9" t="s">
        <v>2240</v>
      </c>
      <c r="L394" s="9" t="s">
        <v>2241</v>
      </c>
      <c r="M394" s="9" t="s">
        <v>2223</v>
      </c>
      <c r="N394" s="9" t="s">
        <v>2223</v>
      </c>
      <c r="O394" s="9" t="s">
        <v>113</v>
      </c>
      <c r="P394" s="9">
        <v>1</v>
      </c>
      <c r="Q394" s="9"/>
      <c r="R394" s="9"/>
      <c r="S394" s="9" t="s">
        <v>2224</v>
      </c>
    </row>
    <row r="395" spans="1:19">
      <c r="A395" s="9" t="s">
        <v>50</v>
      </c>
      <c r="B395" s="9" t="s">
        <v>2216</v>
      </c>
      <c r="C395" s="9" t="s">
        <v>51</v>
      </c>
      <c r="D395" s="9" t="s">
        <v>2242</v>
      </c>
      <c r="E395" s="9" t="s">
        <v>2243</v>
      </c>
      <c r="F395" s="9" t="s">
        <v>2244</v>
      </c>
      <c r="G395" s="9" t="s">
        <v>2245</v>
      </c>
      <c r="H395" s="9" t="s">
        <v>2246</v>
      </c>
      <c r="I395" s="9">
        <v>2023</v>
      </c>
      <c r="J395" s="9" t="s">
        <v>158</v>
      </c>
      <c r="K395" s="9" t="s">
        <v>2247</v>
      </c>
      <c r="L395" s="9" t="s">
        <v>2248</v>
      </c>
      <c r="M395" s="9" t="s">
        <v>2223</v>
      </c>
      <c r="N395" s="9" t="s">
        <v>2223</v>
      </c>
      <c r="O395" s="9" t="s">
        <v>113</v>
      </c>
      <c r="P395" s="9">
        <v>1</v>
      </c>
      <c r="Q395" s="9"/>
      <c r="R395" s="9"/>
      <c r="S395" s="9" t="s">
        <v>2224</v>
      </c>
    </row>
    <row r="396" spans="1:19">
      <c r="A396" s="9" t="s">
        <v>50</v>
      </c>
      <c r="B396" s="9" t="s">
        <v>2216</v>
      </c>
      <c r="C396" s="9" t="s">
        <v>51</v>
      </c>
      <c r="D396" s="9" t="s">
        <v>2249</v>
      </c>
      <c r="E396" s="9" t="s">
        <v>2250</v>
      </c>
      <c r="F396" s="9" t="s">
        <v>735</v>
      </c>
      <c r="G396" s="9" t="s">
        <v>2251</v>
      </c>
      <c r="H396" s="9" t="s">
        <v>880</v>
      </c>
      <c r="I396" s="9">
        <v>2024</v>
      </c>
      <c r="J396" s="9" t="s">
        <v>158</v>
      </c>
      <c r="K396" s="9" t="s">
        <v>2252</v>
      </c>
      <c r="L396" s="9" t="s">
        <v>2253</v>
      </c>
      <c r="M396" s="9" t="s">
        <v>2223</v>
      </c>
      <c r="N396" s="9" t="s">
        <v>2223</v>
      </c>
      <c r="O396" s="9" t="s">
        <v>113</v>
      </c>
      <c r="P396" s="9">
        <v>1</v>
      </c>
      <c r="Q396" s="9"/>
      <c r="R396" s="9"/>
      <c r="S396" s="9" t="s">
        <v>2224</v>
      </c>
    </row>
    <row r="397" spans="1:19">
      <c r="A397" s="9" t="s">
        <v>50</v>
      </c>
      <c r="B397" s="9" t="s">
        <v>2216</v>
      </c>
      <c r="C397" s="9" t="s">
        <v>51</v>
      </c>
      <c r="D397" s="9" t="s">
        <v>2254</v>
      </c>
      <c r="E397" s="9" t="s">
        <v>2255</v>
      </c>
      <c r="F397" s="9" t="s">
        <v>2256</v>
      </c>
      <c r="G397" s="9" t="s">
        <v>2257</v>
      </c>
      <c r="H397" s="9" t="s">
        <v>1363</v>
      </c>
      <c r="I397" s="9">
        <v>2026</v>
      </c>
      <c r="J397" s="9" t="s">
        <v>158</v>
      </c>
      <c r="K397" s="9" t="s">
        <v>2258</v>
      </c>
      <c r="L397" s="9" t="s">
        <v>2259</v>
      </c>
      <c r="M397" s="9" t="s">
        <v>2223</v>
      </c>
      <c r="N397" s="9" t="s">
        <v>2223</v>
      </c>
      <c r="O397" s="9" t="s">
        <v>113</v>
      </c>
      <c r="P397" s="9">
        <v>1</v>
      </c>
      <c r="Q397" s="9"/>
      <c r="R397" s="9"/>
      <c r="S397" s="9" t="s">
        <v>2224</v>
      </c>
    </row>
    <row r="398" spans="1:19">
      <c r="A398" s="9" t="s">
        <v>50</v>
      </c>
      <c r="B398" s="9" t="s">
        <v>2216</v>
      </c>
      <c r="C398" s="9" t="s">
        <v>51</v>
      </c>
      <c r="D398" s="9" t="s">
        <v>2260</v>
      </c>
      <c r="E398" s="9" t="s">
        <v>2261</v>
      </c>
      <c r="F398" s="9" t="s">
        <v>2262</v>
      </c>
      <c r="G398" s="9" t="s">
        <v>2263</v>
      </c>
      <c r="H398" s="9" t="s">
        <v>2264</v>
      </c>
      <c r="I398" s="9">
        <v>2025</v>
      </c>
      <c r="J398" s="9" t="s">
        <v>158</v>
      </c>
      <c r="K398" s="9" t="s">
        <v>2265</v>
      </c>
      <c r="L398" s="9" t="s">
        <v>2266</v>
      </c>
      <c r="M398" s="9" t="s">
        <v>2223</v>
      </c>
      <c r="N398" s="9" t="s">
        <v>2223</v>
      </c>
      <c r="O398" s="9" t="s">
        <v>113</v>
      </c>
      <c r="P398" s="9">
        <v>1</v>
      </c>
      <c r="Q398" s="9"/>
      <c r="R398" s="9"/>
      <c r="S398" s="9" t="s">
        <v>2224</v>
      </c>
    </row>
    <row r="399" spans="1:19">
      <c r="A399" s="9" t="s">
        <v>50</v>
      </c>
      <c r="B399" s="9" t="s">
        <v>2216</v>
      </c>
      <c r="C399" s="9" t="s">
        <v>51</v>
      </c>
      <c r="D399" s="9" t="s">
        <v>2267</v>
      </c>
      <c r="E399" s="9" t="s">
        <v>2268</v>
      </c>
      <c r="F399" s="9" t="s">
        <v>2269</v>
      </c>
      <c r="G399" s="9" t="s">
        <v>2270</v>
      </c>
      <c r="H399" s="9" t="s">
        <v>2271</v>
      </c>
      <c r="I399" s="9">
        <v>2026</v>
      </c>
      <c r="J399" s="9" t="s">
        <v>158</v>
      </c>
      <c r="K399" s="9" t="s">
        <v>2272</v>
      </c>
      <c r="L399" s="9" t="s">
        <v>2273</v>
      </c>
      <c r="M399" s="9" t="s">
        <v>2274</v>
      </c>
      <c r="N399" s="9" t="s">
        <v>2274</v>
      </c>
      <c r="O399" s="9" t="s">
        <v>113</v>
      </c>
      <c r="P399" s="9">
        <v>1</v>
      </c>
      <c r="Q399" s="9"/>
      <c r="R399" s="9"/>
      <c r="S399" s="9" t="s">
        <v>2224</v>
      </c>
    </row>
    <row r="400" spans="1:19">
      <c r="A400" s="9" t="s">
        <v>50</v>
      </c>
      <c r="B400" s="9" t="s">
        <v>2216</v>
      </c>
      <c r="C400" s="9" t="s">
        <v>51</v>
      </c>
      <c r="D400" s="9" t="s">
        <v>2275</v>
      </c>
      <c r="E400" s="9" t="s">
        <v>2276</v>
      </c>
      <c r="F400" s="9" t="s">
        <v>2277</v>
      </c>
      <c r="G400" s="9" t="s">
        <v>2276</v>
      </c>
      <c r="H400" s="9" t="s">
        <v>2278</v>
      </c>
      <c r="I400" s="9">
        <v>2020</v>
      </c>
      <c r="J400" s="9" t="s">
        <v>2279</v>
      </c>
      <c r="K400" s="9" t="s">
        <v>2280</v>
      </c>
      <c r="L400" s="9"/>
      <c r="M400" s="9" t="s">
        <v>2281</v>
      </c>
      <c r="N400" s="9" t="s">
        <v>2281</v>
      </c>
      <c r="O400" s="9" t="s">
        <v>113</v>
      </c>
      <c r="P400" s="9">
        <v>1</v>
      </c>
      <c r="Q400" s="9"/>
      <c r="R400" s="9"/>
      <c r="S400" s="9" t="s">
        <v>2224</v>
      </c>
    </row>
    <row r="401" spans="1:19">
      <c r="A401" s="9" t="s">
        <v>50</v>
      </c>
      <c r="B401" s="9" t="s">
        <v>2216</v>
      </c>
      <c r="C401" s="9" t="s">
        <v>51</v>
      </c>
      <c r="D401" s="9" t="s">
        <v>2282</v>
      </c>
      <c r="E401" s="9" t="s">
        <v>2283</v>
      </c>
      <c r="F401" s="9" t="s">
        <v>2277</v>
      </c>
      <c r="G401" s="9" t="s">
        <v>2284</v>
      </c>
      <c r="H401" s="9" t="s">
        <v>2285</v>
      </c>
      <c r="I401" s="9">
        <v>2020</v>
      </c>
      <c r="J401" s="9" t="s">
        <v>158</v>
      </c>
      <c r="K401" s="9" t="s">
        <v>2280</v>
      </c>
      <c r="L401" s="9" t="s">
        <v>2286</v>
      </c>
      <c r="M401" s="9" t="s">
        <v>2223</v>
      </c>
      <c r="N401" s="9" t="s">
        <v>2223</v>
      </c>
      <c r="O401" s="9" t="s">
        <v>113</v>
      </c>
      <c r="P401" s="9">
        <v>1</v>
      </c>
      <c r="Q401" s="9"/>
      <c r="R401" s="9"/>
      <c r="S401" s="9" t="s">
        <v>2224</v>
      </c>
    </row>
    <row r="402" spans="1:19">
      <c r="A402" s="9" t="s">
        <v>50</v>
      </c>
      <c r="B402" s="9" t="s">
        <v>2216</v>
      </c>
      <c r="C402" s="9" t="s">
        <v>51</v>
      </c>
      <c r="D402" s="9" t="s">
        <v>2287</v>
      </c>
      <c r="E402" s="9" t="s">
        <v>2288</v>
      </c>
      <c r="F402" s="9" t="s">
        <v>2289</v>
      </c>
      <c r="G402" s="9" t="s">
        <v>2290</v>
      </c>
      <c r="H402" s="9" t="s">
        <v>2291</v>
      </c>
      <c r="I402" s="9">
        <v>2019</v>
      </c>
      <c r="J402" s="9" t="s">
        <v>158</v>
      </c>
      <c r="K402" s="9" t="s">
        <v>2292</v>
      </c>
      <c r="L402" s="9" t="s">
        <v>2293</v>
      </c>
      <c r="M402" s="9" t="s">
        <v>2223</v>
      </c>
      <c r="N402" s="9" t="s">
        <v>2223</v>
      </c>
      <c r="O402" s="9" t="s">
        <v>113</v>
      </c>
      <c r="P402" s="9">
        <v>1</v>
      </c>
      <c r="Q402" s="9"/>
      <c r="R402" s="9"/>
      <c r="S402" s="9" t="s">
        <v>2224</v>
      </c>
    </row>
    <row r="403" spans="1:19">
      <c r="A403" s="9" t="s">
        <v>50</v>
      </c>
      <c r="B403" s="9" t="s">
        <v>2216</v>
      </c>
      <c r="C403" s="9" t="s">
        <v>51</v>
      </c>
      <c r="D403" s="9" t="s">
        <v>2294</v>
      </c>
      <c r="E403" s="9" t="s">
        <v>2295</v>
      </c>
      <c r="F403" s="9" t="s">
        <v>2296</v>
      </c>
      <c r="G403" s="9" t="s">
        <v>2297</v>
      </c>
      <c r="H403" s="9" t="s">
        <v>2271</v>
      </c>
      <c r="I403" s="9">
        <v>2026</v>
      </c>
      <c r="J403" s="9" t="s">
        <v>158</v>
      </c>
      <c r="K403" s="9" t="s">
        <v>2298</v>
      </c>
      <c r="L403" s="9" t="s">
        <v>2299</v>
      </c>
      <c r="M403" s="9" t="s">
        <v>2274</v>
      </c>
      <c r="N403" s="9" t="s">
        <v>2274</v>
      </c>
      <c r="O403" s="9" t="s">
        <v>113</v>
      </c>
      <c r="P403" s="9">
        <v>1</v>
      </c>
      <c r="Q403" s="9"/>
      <c r="R403" s="9"/>
      <c r="S403" s="9" t="s">
        <v>2224</v>
      </c>
    </row>
    <row r="404" spans="1:19">
      <c r="A404" s="9" t="s">
        <v>50</v>
      </c>
      <c r="B404" s="9" t="s">
        <v>2216</v>
      </c>
      <c r="C404" s="9" t="s">
        <v>51</v>
      </c>
      <c r="D404" s="9" t="s">
        <v>2300</v>
      </c>
      <c r="E404" s="9" t="s">
        <v>2301</v>
      </c>
      <c r="F404" s="9" t="s">
        <v>887</v>
      </c>
      <c r="G404" s="9" t="s">
        <v>2302</v>
      </c>
      <c r="H404" s="9" t="s">
        <v>1168</v>
      </c>
      <c r="I404" s="9">
        <v>2025</v>
      </c>
      <c r="J404" s="9" t="s">
        <v>158</v>
      </c>
      <c r="K404" s="9" t="s">
        <v>2303</v>
      </c>
      <c r="L404" s="9" t="s">
        <v>2304</v>
      </c>
      <c r="M404" s="9" t="s">
        <v>2223</v>
      </c>
      <c r="N404" s="9" t="s">
        <v>2223</v>
      </c>
      <c r="O404" s="9" t="s">
        <v>113</v>
      </c>
      <c r="P404" s="9">
        <v>1</v>
      </c>
      <c r="Q404" s="9"/>
      <c r="R404" s="9"/>
      <c r="S404" s="9" t="s">
        <v>2224</v>
      </c>
    </row>
    <row r="405" spans="1:19">
      <c r="A405" s="9" t="s">
        <v>50</v>
      </c>
      <c r="B405" s="9" t="s">
        <v>2216</v>
      </c>
      <c r="C405" s="9" t="s">
        <v>51</v>
      </c>
      <c r="D405" s="9" t="s">
        <v>2305</v>
      </c>
      <c r="E405" s="9" t="s">
        <v>2306</v>
      </c>
      <c r="F405" s="9" t="s">
        <v>735</v>
      </c>
      <c r="G405" s="9" t="s">
        <v>2307</v>
      </c>
      <c r="H405" s="9" t="s">
        <v>2308</v>
      </c>
      <c r="I405" s="9">
        <v>2024</v>
      </c>
      <c r="J405" s="9" t="s">
        <v>158</v>
      </c>
      <c r="K405" s="9" t="s">
        <v>2309</v>
      </c>
      <c r="L405" s="9" t="s">
        <v>2310</v>
      </c>
      <c r="M405" s="9" t="s">
        <v>2223</v>
      </c>
      <c r="N405" s="9" t="s">
        <v>2223</v>
      </c>
      <c r="O405" s="9" t="s">
        <v>113</v>
      </c>
      <c r="P405" s="9">
        <v>1</v>
      </c>
      <c r="Q405" s="9"/>
      <c r="R405" s="9"/>
      <c r="S405" s="9" t="s">
        <v>2224</v>
      </c>
    </row>
    <row r="406" spans="1:19">
      <c r="A406" s="9" t="s">
        <v>50</v>
      </c>
      <c r="B406" s="9" t="s">
        <v>2216</v>
      </c>
      <c r="C406" s="9" t="s">
        <v>51</v>
      </c>
      <c r="D406" s="9" t="s">
        <v>2311</v>
      </c>
      <c r="E406" s="9" t="s">
        <v>2312</v>
      </c>
      <c r="F406" s="9" t="s">
        <v>1147</v>
      </c>
      <c r="G406" s="9" t="s">
        <v>2313</v>
      </c>
      <c r="H406" s="9" t="s">
        <v>1149</v>
      </c>
      <c r="I406" s="9">
        <v>2025</v>
      </c>
      <c r="J406" s="9" t="s">
        <v>158</v>
      </c>
      <c r="K406" s="9" t="s">
        <v>2314</v>
      </c>
      <c r="L406" s="9" t="s">
        <v>2315</v>
      </c>
      <c r="M406" s="9" t="s">
        <v>2223</v>
      </c>
      <c r="N406" s="9" t="s">
        <v>2223</v>
      </c>
      <c r="O406" s="9" t="s">
        <v>113</v>
      </c>
      <c r="P406" s="9">
        <v>1</v>
      </c>
      <c r="Q406" s="9"/>
      <c r="R406" s="9"/>
      <c r="S406" s="9" t="s">
        <v>2224</v>
      </c>
    </row>
    <row r="407" spans="1:19">
      <c r="A407" s="9" t="s">
        <v>50</v>
      </c>
      <c r="B407" s="9" t="s">
        <v>2216</v>
      </c>
      <c r="C407" s="9" t="s">
        <v>51</v>
      </c>
      <c r="D407" s="9" t="s">
        <v>2316</v>
      </c>
      <c r="E407" s="9" t="s">
        <v>2317</v>
      </c>
      <c r="F407" s="9" t="s">
        <v>2318</v>
      </c>
      <c r="G407" s="9" t="s">
        <v>2317</v>
      </c>
      <c r="H407" s="9" t="s">
        <v>2319</v>
      </c>
      <c r="I407" s="9">
        <v>2020</v>
      </c>
      <c r="J407" s="9" t="s">
        <v>2279</v>
      </c>
      <c r="K407" s="9" t="s">
        <v>2320</v>
      </c>
      <c r="L407" s="9"/>
      <c r="M407" s="9" t="s">
        <v>2223</v>
      </c>
      <c r="N407" s="9" t="s">
        <v>2223</v>
      </c>
      <c r="O407" s="9" t="s">
        <v>113</v>
      </c>
      <c r="P407" s="9">
        <v>1</v>
      </c>
      <c r="Q407" s="9"/>
      <c r="R407" s="9"/>
      <c r="S407" s="9" t="s">
        <v>2224</v>
      </c>
    </row>
    <row r="408" spans="1:19">
      <c r="A408" s="9" t="s">
        <v>50</v>
      </c>
      <c r="B408" s="9" t="s">
        <v>2216</v>
      </c>
      <c r="C408" s="9" t="s">
        <v>51</v>
      </c>
      <c r="D408" s="9" t="s">
        <v>2321</v>
      </c>
      <c r="E408" s="9" t="s">
        <v>2322</v>
      </c>
      <c r="F408" s="9" t="s">
        <v>2244</v>
      </c>
      <c r="G408" s="9" t="s">
        <v>2323</v>
      </c>
      <c r="H408" s="9" t="s">
        <v>2246</v>
      </c>
      <c r="I408" s="9">
        <v>2023</v>
      </c>
      <c r="J408" s="9" t="s">
        <v>158</v>
      </c>
      <c r="K408" s="9" t="s">
        <v>2324</v>
      </c>
      <c r="L408" s="9" t="s">
        <v>2325</v>
      </c>
      <c r="M408" s="9" t="s">
        <v>2223</v>
      </c>
      <c r="N408" s="9" t="s">
        <v>2223</v>
      </c>
      <c r="O408" s="9" t="s">
        <v>113</v>
      </c>
      <c r="P408" s="9">
        <v>1</v>
      </c>
      <c r="Q408" s="9"/>
      <c r="R408" s="9"/>
      <c r="S408" s="9" t="s">
        <v>2224</v>
      </c>
    </row>
    <row r="409" spans="1:19">
      <c r="A409" s="9" t="s">
        <v>50</v>
      </c>
      <c r="B409" s="9" t="s">
        <v>2216</v>
      </c>
      <c r="C409" s="9" t="s">
        <v>51</v>
      </c>
      <c r="D409" s="9" t="s">
        <v>2326</v>
      </c>
      <c r="E409" s="9" t="s">
        <v>2327</v>
      </c>
      <c r="F409" s="9" t="s">
        <v>1055</v>
      </c>
      <c r="G409" s="9" t="s">
        <v>2328</v>
      </c>
      <c r="H409" s="9" t="s">
        <v>1149</v>
      </c>
      <c r="I409" s="9">
        <v>2025</v>
      </c>
      <c r="J409" s="9" t="s">
        <v>158</v>
      </c>
      <c r="K409" s="9" t="s">
        <v>2329</v>
      </c>
      <c r="L409" s="9" t="s">
        <v>2330</v>
      </c>
      <c r="M409" s="9" t="s">
        <v>2223</v>
      </c>
      <c r="N409" s="9" t="s">
        <v>2223</v>
      </c>
      <c r="O409" s="9" t="s">
        <v>113</v>
      </c>
      <c r="P409" s="9">
        <v>1</v>
      </c>
      <c r="Q409" s="9"/>
      <c r="R409" s="9"/>
      <c r="S409" s="9" t="s">
        <v>2224</v>
      </c>
    </row>
    <row r="410" spans="1:19">
      <c r="A410" s="9" t="s">
        <v>50</v>
      </c>
      <c r="B410" s="9" t="s">
        <v>2216</v>
      </c>
      <c r="C410" s="9" t="s">
        <v>51</v>
      </c>
      <c r="D410" s="9" t="s">
        <v>2331</v>
      </c>
      <c r="E410" s="9" t="s">
        <v>2332</v>
      </c>
      <c r="F410" s="9" t="s">
        <v>2333</v>
      </c>
      <c r="G410" s="9" t="s">
        <v>2334</v>
      </c>
      <c r="H410" s="9" t="s">
        <v>2335</v>
      </c>
      <c r="I410" s="9">
        <v>2024</v>
      </c>
      <c r="J410" s="9" t="s">
        <v>158</v>
      </c>
      <c r="K410" s="9" t="s">
        <v>2336</v>
      </c>
      <c r="L410" s="9" t="s">
        <v>2337</v>
      </c>
      <c r="M410" s="9" t="s">
        <v>2223</v>
      </c>
      <c r="N410" s="9" t="s">
        <v>2223</v>
      </c>
      <c r="O410" s="9" t="s">
        <v>113</v>
      </c>
      <c r="P410" s="9">
        <v>1</v>
      </c>
      <c r="Q410" s="9"/>
      <c r="R410" s="9"/>
      <c r="S410" s="9" t="s">
        <v>2224</v>
      </c>
    </row>
    <row r="411" spans="1:19">
      <c r="A411" s="9" t="s">
        <v>50</v>
      </c>
      <c r="B411" s="9" t="s">
        <v>2216</v>
      </c>
      <c r="C411" s="9" t="s">
        <v>51</v>
      </c>
      <c r="D411" s="9" t="s">
        <v>2338</v>
      </c>
      <c r="E411" s="9" t="s">
        <v>2339</v>
      </c>
      <c r="F411" s="9" t="s">
        <v>2256</v>
      </c>
      <c r="G411" s="9" t="s">
        <v>2340</v>
      </c>
      <c r="H411" s="9" t="s">
        <v>1363</v>
      </c>
      <c r="I411" s="9">
        <v>2026</v>
      </c>
      <c r="J411" s="9" t="s">
        <v>158</v>
      </c>
      <c r="K411" s="9" t="s">
        <v>2341</v>
      </c>
      <c r="L411" s="9" t="s">
        <v>2342</v>
      </c>
      <c r="M411" s="9" t="s">
        <v>2223</v>
      </c>
      <c r="N411" s="9" t="s">
        <v>2223</v>
      </c>
      <c r="O411" s="9" t="s">
        <v>113</v>
      </c>
      <c r="P411" s="9">
        <v>1</v>
      </c>
      <c r="Q411" s="9"/>
      <c r="R411" s="9"/>
      <c r="S411" s="9" t="s">
        <v>2224</v>
      </c>
    </row>
    <row r="412" spans="1:19">
      <c r="A412" s="9" t="s">
        <v>50</v>
      </c>
      <c r="B412" s="9" t="s">
        <v>2216</v>
      </c>
      <c r="C412" s="9" t="s">
        <v>51</v>
      </c>
      <c r="D412" s="9" t="s">
        <v>2343</v>
      </c>
      <c r="E412" s="9" t="s">
        <v>2344</v>
      </c>
      <c r="F412" s="9" t="s">
        <v>2256</v>
      </c>
      <c r="G412" s="9" t="s">
        <v>2345</v>
      </c>
      <c r="H412" s="9" t="s">
        <v>1363</v>
      </c>
      <c r="I412" s="9">
        <v>2026</v>
      </c>
      <c r="J412" s="9" t="s">
        <v>158</v>
      </c>
      <c r="K412" s="9" t="s">
        <v>2346</v>
      </c>
      <c r="L412" s="9" t="s">
        <v>2347</v>
      </c>
      <c r="M412" s="9" t="s">
        <v>2274</v>
      </c>
      <c r="N412" s="9" t="s">
        <v>2274</v>
      </c>
      <c r="O412" s="9" t="s">
        <v>113</v>
      </c>
      <c r="P412" s="9">
        <v>1</v>
      </c>
      <c r="Q412" s="9"/>
      <c r="R412" s="9"/>
      <c r="S412" s="9" t="s">
        <v>2224</v>
      </c>
    </row>
    <row r="413" spans="1:19">
      <c r="A413" s="9" t="s">
        <v>50</v>
      </c>
      <c r="B413" s="9" t="s">
        <v>2216</v>
      </c>
      <c r="C413" s="9" t="s">
        <v>51</v>
      </c>
      <c r="D413" s="9" t="s">
        <v>2348</v>
      </c>
      <c r="E413" s="9" t="s">
        <v>2349</v>
      </c>
      <c r="F413" s="9" t="s">
        <v>2350</v>
      </c>
      <c r="G413" s="9" t="s">
        <v>2349</v>
      </c>
      <c r="H413" s="9" t="s">
        <v>840</v>
      </c>
      <c r="I413" s="9">
        <v>2023</v>
      </c>
      <c r="J413" s="9" t="s">
        <v>130</v>
      </c>
      <c r="K413" s="9" t="s">
        <v>2351</v>
      </c>
      <c r="L413" s="9" t="s">
        <v>2352</v>
      </c>
      <c r="M413" s="9" t="s">
        <v>2281</v>
      </c>
      <c r="N413" s="9" t="s">
        <v>2281</v>
      </c>
      <c r="O413" s="9" t="s">
        <v>113</v>
      </c>
      <c r="P413" s="9">
        <v>1</v>
      </c>
      <c r="Q413" s="9"/>
      <c r="R413" s="9"/>
      <c r="S413" s="9" t="s">
        <v>2224</v>
      </c>
    </row>
    <row r="414" spans="1:19">
      <c r="A414" s="9" t="s">
        <v>50</v>
      </c>
      <c r="B414" s="9" t="s">
        <v>2216</v>
      </c>
      <c r="C414" s="9" t="s">
        <v>51</v>
      </c>
      <c r="D414" s="9" t="s">
        <v>2353</v>
      </c>
      <c r="E414" s="9" t="s">
        <v>2354</v>
      </c>
      <c r="F414" s="9" t="s">
        <v>1739</v>
      </c>
      <c r="G414" s="9" t="s">
        <v>2355</v>
      </c>
      <c r="H414" s="9" t="s">
        <v>1149</v>
      </c>
      <c r="I414" s="9">
        <v>2025</v>
      </c>
      <c r="J414" s="9" t="s">
        <v>677</v>
      </c>
      <c r="K414" s="9" t="s">
        <v>2356</v>
      </c>
      <c r="L414" s="9" t="s">
        <v>2357</v>
      </c>
      <c r="M414" s="9" t="s">
        <v>2223</v>
      </c>
      <c r="N414" s="9" t="s">
        <v>2223</v>
      </c>
      <c r="O414" s="9" t="s">
        <v>113</v>
      </c>
      <c r="P414" s="9">
        <v>1</v>
      </c>
      <c r="Q414" s="9"/>
      <c r="R414" s="9"/>
      <c r="S414" s="9" t="s">
        <v>2224</v>
      </c>
    </row>
    <row r="415" spans="1:19">
      <c r="A415" s="9" t="s">
        <v>50</v>
      </c>
      <c r="B415" s="9" t="s">
        <v>2216</v>
      </c>
      <c r="C415" s="9" t="s">
        <v>51</v>
      </c>
      <c r="D415" s="9" t="s">
        <v>2358</v>
      </c>
      <c r="E415" s="9" t="s">
        <v>2359</v>
      </c>
      <c r="F415" s="9" t="s">
        <v>1739</v>
      </c>
      <c r="G415" s="9" t="s">
        <v>2359</v>
      </c>
      <c r="H415" s="9" t="s">
        <v>1739</v>
      </c>
      <c r="I415" s="9">
        <v>2023</v>
      </c>
      <c r="J415" s="9" t="s">
        <v>2360</v>
      </c>
      <c r="K415" s="9" t="s">
        <v>2361</v>
      </c>
      <c r="L415" s="9" t="s">
        <v>2362</v>
      </c>
      <c r="M415" s="9" t="s">
        <v>2223</v>
      </c>
      <c r="N415" s="9" t="s">
        <v>2223</v>
      </c>
      <c r="O415" s="9" t="s">
        <v>113</v>
      </c>
      <c r="P415" s="9">
        <v>1</v>
      </c>
      <c r="Q415" s="9"/>
      <c r="R415" s="9"/>
      <c r="S415" s="9" t="s">
        <v>2224</v>
      </c>
    </row>
    <row r="416" spans="1:19">
      <c r="A416" s="9" t="s">
        <v>50</v>
      </c>
      <c r="B416" s="9" t="s">
        <v>2216</v>
      </c>
      <c r="C416" s="9" t="s">
        <v>51</v>
      </c>
      <c r="D416" s="9" t="s">
        <v>2363</v>
      </c>
      <c r="E416" s="9" t="s">
        <v>2364</v>
      </c>
      <c r="F416" s="9" t="s">
        <v>2365</v>
      </c>
      <c r="G416" s="9" t="s">
        <v>2364</v>
      </c>
      <c r="H416" s="9" t="s">
        <v>2366</v>
      </c>
      <c r="I416" s="9">
        <v>2025</v>
      </c>
      <c r="J416" s="9" t="s">
        <v>2367</v>
      </c>
      <c r="K416" s="9" t="s">
        <v>2368</v>
      </c>
      <c r="L416" s="9" t="s">
        <v>2357</v>
      </c>
      <c r="M416" s="9" t="s">
        <v>2223</v>
      </c>
      <c r="N416" s="9" t="s">
        <v>2223</v>
      </c>
      <c r="O416" s="9" t="s">
        <v>113</v>
      </c>
      <c r="P416" s="9">
        <v>1</v>
      </c>
      <c r="Q416" s="9"/>
      <c r="R416" s="9"/>
      <c r="S416" s="9" t="s">
        <v>2224</v>
      </c>
    </row>
    <row r="417" spans="1:19">
      <c r="A417" s="9" t="s">
        <v>50</v>
      </c>
      <c r="B417" s="9" t="s">
        <v>2216</v>
      </c>
      <c r="C417" s="9" t="s">
        <v>51</v>
      </c>
      <c r="D417" s="9" t="s">
        <v>2369</v>
      </c>
      <c r="E417" s="9" t="s">
        <v>2370</v>
      </c>
      <c r="F417" s="9" t="s">
        <v>1739</v>
      </c>
      <c r="G417" s="9" t="s">
        <v>2371</v>
      </c>
      <c r="H417" s="9" t="s">
        <v>1673</v>
      </c>
      <c r="I417" s="9">
        <v>2025</v>
      </c>
      <c r="J417" s="9" t="s">
        <v>1587</v>
      </c>
      <c r="K417" s="9" t="s">
        <v>2372</v>
      </c>
      <c r="L417" s="9" t="s">
        <v>2373</v>
      </c>
      <c r="M417" s="9" t="s">
        <v>2223</v>
      </c>
      <c r="N417" s="9" t="s">
        <v>2223</v>
      </c>
      <c r="O417" s="9" t="s">
        <v>113</v>
      </c>
      <c r="P417" s="9">
        <v>1</v>
      </c>
      <c r="Q417" s="9"/>
      <c r="R417" s="9"/>
      <c r="S417" s="9" t="s">
        <v>2224</v>
      </c>
    </row>
    <row r="418" spans="1:19">
      <c r="A418" s="9" t="s">
        <v>50</v>
      </c>
      <c r="B418" s="9" t="s">
        <v>2216</v>
      </c>
      <c r="C418" s="9" t="s">
        <v>51</v>
      </c>
      <c r="D418" s="9" t="s">
        <v>2374</v>
      </c>
      <c r="E418" s="9" t="s">
        <v>2375</v>
      </c>
      <c r="F418" s="9" t="s">
        <v>2376</v>
      </c>
      <c r="G418" s="9" t="s">
        <v>2377</v>
      </c>
      <c r="H418" s="9" t="s">
        <v>2378</v>
      </c>
      <c r="I418" s="9">
        <v>2024</v>
      </c>
      <c r="J418" s="9" t="s">
        <v>158</v>
      </c>
      <c r="K418" s="9" t="s">
        <v>2379</v>
      </c>
      <c r="L418" s="9" t="s">
        <v>2380</v>
      </c>
      <c r="M418" s="9" t="s">
        <v>2223</v>
      </c>
      <c r="N418" s="9" t="s">
        <v>2223</v>
      </c>
      <c r="O418" s="9" t="s">
        <v>113</v>
      </c>
      <c r="P418" s="9">
        <v>1</v>
      </c>
      <c r="Q418" s="9"/>
      <c r="R418" s="9"/>
      <c r="S418" s="9" t="s">
        <v>2224</v>
      </c>
    </row>
    <row r="419" spans="1:19">
      <c r="A419" s="9" t="s">
        <v>50</v>
      </c>
      <c r="B419" s="9" t="s">
        <v>2216</v>
      </c>
      <c r="C419" s="9" t="s">
        <v>51</v>
      </c>
      <c r="D419" s="9" t="s">
        <v>2381</v>
      </c>
      <c r="E419" s="9" t="s">
        <v>2382</v>
      </c>
      <c r="F419" s="9" t="s">
        <v>1739</v>
      </c>
      <c r="G419" s="9" t="s">
        <v>2383</v>
      </c>
      <c r="H419" s="9" t="s">
        <v>2238</v>
      </c>
      <c r="I419" s="9">
        <v>2025</v>
      </c>
      <c r="J419" s="9" t="s">
        <v>2239</v>
      </c>
      <c r="K419" s="9" t="s">
        <v>2384</v>
      </c>
      <c r="L419" s="9" t="s">
        <v>2373</v>
      </c>
      <c r="M419" s="9" t="s">
        <v>2223</v>
      </c>
      <c r="N419" s="9" t="s">
        <v>2223</v>
      </c>
      <c r="O419" s="9" t="s">
        <v>113</v>
      </c>
      <c r="P419" s="9">
        <v>1</v>
      </c>
      <c r="Q419" s="9"/>
      <c r="R419" s="9"/>
      <c r="S419" s="9" t="s">
        <v>2224</v>
      </c>
    </row>
    <row r="420" spans="1:19">
      <c r="A420" s="9" t="s">
        <v>50</v>
      </c>
      <c r="B420" s="9" t="s">
        <v>2216</v>
      </c>
      <c r="C420" s="9" t="s">
        <v>51</v>
      </c>
      <c r="D420" s="9" t="s">
        <v>2385</v>
      </c>
      <c r="E420" s="9" t="s">
        <v>2386</v>
      </c>
      <c r="F420" s="9" t="s">
        <v>1739</v>
      </c>
      <c r="G420" s="9" t="s">
        <v>2387</v>
      </c>
      <c r="H420" s="9" t="s">
        <v>2388</v>
      </c>
      <c r="I420" s="9">
        <v>2024</v>
      </c>
      <c r="J420" s="9" t="s">
        <v>158</v>
      </c>
      <c r="K420" s="9" t="s">
        <v>2372</v>
      </c>
      <c r="L420" s="9" t="s">
        <v>2373</v>
      </c>
      <c r="M420" s="9" t="s">
        <v>2223</v>
      </c>
      <c r="N420" s="9" t="s">
        <v>2223</v>
      </c>
      <c r="O420" s="9" t="s">
        <v>113</v>
      </c>
      <c r="P420" s="9">
        <v>1</v>
      </c>
      <c r="Q420" s="9"/>
      <c r="R420" s="9"/>
      <c r="S420" s="9" t="s">
        <v>2224</v>
      </c>
    </row>
    <row r="421" spans="1:19">
      <c r="A421" s="9" t="s">
        <v>50</v>
      </c>
      <c r="B421" s="9" t="s">
        <v>2216</v>
      </c>
      <c r="C421" s="9" t="s">
        <v>51</v>
      </c>
      <c r="D421" s="9" t="s">
        <v>2389</v>
      </c>
      <c r="E421" s="9" t="s">
        <v>2390</v>
      </c>
      <c r="F421" s="9" t="s">
        <v>2391</v>
      </c>
      <c r="G421" s="9" t="s">
        <v>2392</v>
      </c>
      <c r="H421" s="9" t="s">
        <v>1363</v>
      </c>
      <c r="I421" s="9">
        <v>2026</v>
      </c>
      <c r="J421" s="9" t="s">
        <v>158</v>
      </c>
      <c r="K421" s="9" t="s">
        <v>2393</v>
      </c>
      <c r="L421" s="9" t="s">
        <v>2394</v>
      </c>
      <c r="M421" s="9" t="s">
        <v>2223</v>
      </c>
      <c r="N421" s="9" t="s">
        <v>2223</v>
      </c>
      <c r="O421" s="9" t="s">
        <v>113</v>
      </c>
      <c r="P421" s="9">
        <v>1</v>
      </c>
      <c r="Q421" s="9"/>
      <c r="R421" s="9"/>
      <c r="S421" s="9" t="s">
        <v>2224</v>
      </c>
    </row>
    <row r="422" spans="1:19">
      <c r="A422" s="9" t="s">
        <v>50</v>
      </c>
      <c r="B422" s="9" t="s">
        <v>2216</v>
      </c>
      <c r="C422" s="9" t="s">
        <v>51</v>
      </c>
      <c r="D422" s="9" t="s">
        <v>2395</v>
      </c>
      <c r="E422" s="9" t="s">
        <v>2396</v>
      </c>
      <c r="F422" s="9" t="s">
        <v>2256</v>
      </c>
      <c r="G422" s="9" t="s">
        <v>2397</v>
      </c>
      <c r="H422" s="9" t="s">
        <v>1363</v>
      </c>
      <c r="I422" s="9">
        <v>2026</v>
      </c>
      <c r="J422" s="9" t="s">
        <v>158</v>
      </c>
      <c r="K422" s="9" t="s">
        <v>2398</v>
      </c>
      <c r="L422" s="9" t="s">
        <v>2399</v>
      </c>
      <c r="M422" s="9" t="s">
        <v>2274</v>
      </c>
      <c r="N422" s="9" t="s">
        <v>2274</v>
      </c>
      <c r="O422" s="9" t="s">
        <v>113</v>
      </c>
      <c r="P422" s="9">
        <v>1</v>
      </c>
      <c r="Q422" s="9"/>
      <c r="R422" s="9"/>
      <c r="S422" s="9" t="s">
        <v>2224</v>
      </c>
    </row>
    <row r="423" spans="1:19">
      <c r="A423" s="9" t="s">
        <v>50</v>
      </c>
      <c r="B423" s="9" t="s">
        <v>2216</v>
      </c>
      <c r="C423" s="9" t="s">
        <v>51</v>
      </c>
      <c r="D423" s="9" t="s">
        <v>2400</v>
      </c>
      <c r="E423" s="9" t="s">
        <v>2401</v>
      </c>
      <c r="F423" s="9" t="s">
        <v>2402</v>
      </c>
      <c r="G423" s="9" t="s">
        <v>2403</v>
      </c>
      <c r="H423" s="9" t="s">
        <v>1149</v>
      </c>
      <c r="I423" s="9">
        <v>2025</v>
      </c>
      <c r="J423" s="9" t="s">
        <v>158</v>
      </c>
      <c r="K423" s="9" t="s">
        <v>2404</v>
      </c>
      <c r="L423" s="9" t="s">
        <v>2405</v>
      </c>
      <c r="M423" s="9" t="s">
        <v>2223</v>
      </c>
      <c r="N423" s="9" t="s">
        <v>2223</v>
      </c>
      <c r="O423" s="9" t="s">
        <v>113</v>
      </c>
      <c r="P423" s="9">
        <v>1</v>
      </c>
      <c r="Q423" s="9"/>
      <c r="R423" s="9"/>
      <c r="S423" s="9" t="s">
        <v>2224</v>
      </c>
    </row>
    <row r="424" spans="1:19">
      <c r="A424" s="9" t="s">
        <v>50</v>
      </c>
      <c r="B424" s="9" t="s">
        <v>2216</v>
      </c>
      <c r="C424" s="9" t="s">
        <v>51</v>
      </c>
      <c r="D424" s="9" t="s">
        <v>2406</v>
      </c>
      <c r="E424" s="9" t="s">
        <v>2407</v>
      </c>
      <c r="F424" s="9" t="s">
        <v>2408</v>
      </c>
      <c r="G424" s="9" t="s">
        <v>2407</v>
      </c>
      <c r="H424" s="9" t="s">
        <v>1956</v>
      </c>
      <c r="I424" s="9">
        <v>2018</v>
      </c>
      <c r="J424" s="9" t="s">
        <v>130</v>
      </c>
      <c r="K424" s="9" t="s">
        <v>2292</v>
      </c>
      <c r="L424" s="9" t="s">
        <v>2293</v>
      </c>
      <c r="M424" s="9" t="s">
        <v>2281</v>
      </c>
      <c r="N424" s="9" t="s">
        <v>2281</v>
      </c>
      <c r="O424" s="9" t="s">
        <v>113</v>
      </c>
      <c r="P424" s="9">
        <v>1</v>
      </c>
      <c r="Q424" s="9"/>
      <c r="R424" s="9"/>
      <c r="S424" s="9" t="s">
        <v>2224</v>
      </c>
    </row>
    <row r="425" spans="1:19">
      <c r="A425" s="9" t="s">
        <v>50</v>
      </c>
      <c r="B425" s="9" t="s">
        <v>2216</v>
      </c>
      <c r="C425" s="9" t="s">
        <v>51</v>
      </c>
      <c r="D425" s="9" t="s">
        <v>2409</v>
      </c>
      <c r="E425" s="9" t="s">
        <v>2410</v>
      </c>
      <c r="F425" s="9" t="s">
        <v>2411</v>
      </c>
      <c r="G425" s="9" t="s">
        <v>2410</v>
      </c>
      <c r="H425" s="9" t="s">
        <v>2412</v>
      </c>
      <c r="I425" s="9">
        <v>2024</v>
      </c>
      <c r="J425" s="9" t="s">
        <v>2279</v>
      </c>
      <c r="K425" s="9" t="s">
        <v>2413</v>
      </c>
      <c r="L425" s="9"/>
      <c r="M425" s="9" t="s">
        <v>2414</v>
      </c>
      <c r="N425" s="9" t="s">
        <v>2414</v>
      </c>
      <c r="O425" s="9" t="s">
        <v>113</v>
      </c>
      <c r="P425" s="9">
        <v>1</v>
      </c>
      <c r="Q425" s="9"/>
      <c r="R425" s="9"/>
      <c r="S425" s="9" t="s">
        <v>2224</v>
      </c>
    </row>
    <row r="426" spans="1:19">
      <c r="A426" s="9" t="s">
        <v>50</v>
      </c>
      <c r="B426" s="9" t="s">
        <v>2216</v>
      </c>
      <c r="C426" s="9" t="s">
        <v>51</v>
      </c>
      <c r="D426" s="9" t="s">
        <v>2415</v>
      </c>
      <c r="E426" s="9" t="s">
        <v>2416</v>
      </c>
      <c r="F426" s="9" t="s">
        <v>2411</v>
      </c>
      <c r="G426" s="9" t="s">
        <v>2416</v>
      </c>
      <c r="H426" s="9" t="s">
        <v>2417</v>
      </c>
      <c r="I426" s="9">
        <v>2025</v>
      </c>
      <c r="J426" s="9" t="s">
        <v>2279</v>
      </c>
      <c r="K426" s="9" t="s">
        <v>2413</v>
      </c>
      <c r="L426" s="9"/>
      <c r="M426" s="9" t="s">
        <v>2414</v>
      </c>
      <c r="N426" s="9" t="s">
        <v>2414</v>
      </c>
      <c r="O426" s="9" t="s">
        <v>113</v>
      </c>
      <c r="P426" s="9">
        <v>1</v>
      </c>
      <c r="Q426" s="9"/>
      <c r="R426" s="9"/>
      <c r="S426" s="9" t="s">
        <v>2224</v>
      </c>
    </row>
    <row r="427" spans="1:19">
      <c r="A427" s="9" t="s">
        <v>50</v>
      </c>
      <c r="B427" s="9" t="s">
        <v>2216</v>
      </c>
      <c r="C427" s="9" t="s">
        <v>51</v>
      </c>
      <c r="D427" s="9" t="s">
        <v>2418</v>
      </c>
      <c r="E427" s="9" t="s">
        <v>2419</v>
      </c>
      <c r="F427" s="9" t="s">
        <v>2333</v>
      </c>
      <c r="G427" s="9" t="s">
        <v>2420</v>
      </c>
      <c r="H427" s="9" t="s">
        <v>2335</v>
      </c>
      <c r="I427" s="9">
        <v>2024</v>
      </c>
      <c r="J427" s="9" t="s">
        <v>158</v>
      </c>
      <c r="K427" s="9" t="s">
        <v>2421</v>
      </c>
      <c r="L427" s="9" t="s">
        <v>2422</v>
      </c>
      <c r="M427" s="9" t="s">
        <v>2223</v>
      </c>
      <c r="N427" s="9" t="s">
        <v>2223</v>
      </c>
      <c r="O427" s="9" t="s">
        <v>113</v>
      </c>
      <c r="P427" s="9">
        <v>1</v>
      </c>
      <c r="Q427" s="9"/>
      <c r="R427" s="9"/>
      <c r="S427" s="9" t="s">
        <v>2224</v>
      </c>
    </row>
    <row r="428" spans="1:19">
      <c r="A428" s="9" t="s">
        <v>50</v>
      </c>
      <c r="B428" s="9" t="s">
        <v>2216</v>
      </c>
      <c r="C428" s="9" t="s">
        <v>51</v>
      </c>
      <c r="D428" s="9" t="s">
        <v>2423</v>
      </c>
      <c r="E428" s="9" t="s">
        <v>2424</v>
      </c>
      <c r="F428" s="9" t="s">
        <v>2333</v>
      </c>
      <c r="G428" s="9" t="s">
        <v>2425</v>
      </c>
      <c r="H428" s="9" t="s">
        <v>1020</v>
      </c>
      <c r="I428" s="9">
        <v>2024</v>
      </c>
      <c r="J428" s="9" t="s">
        <v>158</v>
      </c>
      <c r="K428" s="9" t="s">
        <v>2426</v>
      </c>
      <c r="L428" s="9" t="s">
        <v>2310</v>
      </c>
      <c r="M428" s="9" t="s">
        <v>2223</v>
      </c>
      <c r="N428" s="9" t="s">
        <v>2223</v>
      </c>
      <c r="O428" s="9" t="s">
        <v>113</v>
      </c>
      <c r="P428" s="9">
        <v>1</v>
      </c>
      <c r="Q428" s="9"/>
      <c r="R428" s="9"/>
      <c r="S428" s="9" t="s">
        <v>2224</v>
      </c>
    </row>
    <row r="429" spans="1:19">
      <c r="A429" s="9" t="s">
        <v>50</v>
      </c>
      <c r="B429" s="9" t="s">
        <v>2216</v>
      </c>
      <c r="C429" s="9" t="s">
        <v>51</v>
      </c>
      <c r="D429" s="9" t="s">
        <v>2427</v>
      </c>
      <c r="E429" s="9" t="s">
        <v>2428</v>
      </c>
      <c r="F429" s="9" t="s">
        <v>1368</v>
      </c>
      <c r="G429" s="9" t="s">
        <v>2429</v>
      </c>
      <c r="H429" s="9" t="s">
        <v>1363</v>
      </c>
      <c r="I429" s="9">
        <v>2026</v>
      </c>
      <c r="J429" s="9" t="s">
        <v>158</v>
      </c>
      <c r="K429" s="9" t="s">
        <v>2430</v>
      </c>
      <c r="L429" s="9" t="s">
        <v>2431</v>
      </c>
      <c r="M429" s="9" t="s">
        <v>2223</v>
      </c>
      <c r="N429" s="9" t="s">
        <v>2223</v>
      </c>
      <c r="O429" s="9" t="s">
        <v>113</v>
      </c>
      <c r="P429" s="9">
        <v>1</v>
      </c>
      <c r="Q429" s="9"/>
      <c r="R429" s="9"/>
      <c r="S429" s="9" t="s">
        <v>2224</v>
      </c>
    </row>
    <row r="430" spans="1:19">
      <c r="A430" s="9" t="s">
        <v>50</v>
      </c>
      <c r="B430" s="9" t="s">
        <v>2216</v>
      </c>
      <c r="C430" s="9" t="s">
        <v>51</v>
      </c>
      <c r="D430" s="9" t="s">
        <v>2432</v>
      </c>
      <c r="E430" s="9" t="s">
        <v>2433</v>
      </c>
      <c r="F430" s="9" t="s">
        <v>2256</v>
      </c>
      <c r="G430" s="9" t="s">
        <v>2434</v>
      </c>
      <c r="H430" s="9" t="s">
        <v>1363</v>
      </c>
      <c r="I430" s="9">
        <v>2026</v>
      </c>
      <c r="J430" s="9" t="s">
        <v>158</v>
      </c>
      <c r="K430" s="9" t="s">
        <v>2435</v>
      </c>
      <c r="L430" s="9" t="s">
        <v>2436</v>
      </c>
      <c r="M430" s="9" t="s">
        <v>2223</v>
      </c>
      <c r="N430" s="9" t="s">
        <v>2223</v>
      </c>
      <c r="O430" s="9" t="s">
        <v>113</v>
      </c>
      <c r="P430" s="9">
        <v>1</v>
      </c>
      <c r="Q430" s="9"/>
      <c r="R430" s="9"/>
      <c r="S430" s="9" t="s">
        <v>2224</v>
      </c>
    </row>
    <row r="431" spans="1:19">
      <c r="A431" s="9" t="s">
        <v>50</v>
      </c>
      <c r="B431" s="9" t="s">
        <v>2216</v>
      </c>
      <c r="C431" s="9" t="s">
        <v>51</v>
      </c>
      <c r="D431" s="9" t="s">
        <v>2437</v>
      </c>
      <c r="E431" s="9" t="s">
        <v>2438</v>
      </c>
      <c r="F431" s="9" t="s">
        <v>2439</v>
      </c>
      <c r="G431" s="9" t="s">
        <v>2440</v>
      </c>
      <c r="H431" s="9" t="s">
        <v>2271</v>
      </c>
      <c r="I431" s="9">
        <v>2026</v>
      </c>
      <c r="J431" s="9" t="s">
        <v>158</v>
      </c>
      <c r="K431" s="9" t="s">
        <v>2441</v>
      </c>
      <c r="L431" s="9" t="s">
        <v>2310</v>
      </c>
      <c r="M431" s="9" t="s">
        <v>2274</v>
      </c>
      <c r="N431" s="9" t="s">
        <v>2274</v>
      </c>
      <c r="O431" s="9" t="s">
        <v>113</v>
      </c>
      <c r="P431" s="9">
        <v>1</v>
      </c>
      <c r="Q431" s="9"/>
      <c r="R431" s="9"/>
      <c r="S431" s="9" t="s">
        <v>2224</v>
      </c>
    </row>
    <row r="432" spans="1:19">
      <c r="A432" s="9" t="s">
        <v>50</v>
      </c>
      <c r="B432" s="9" t="s">
        <v>2216</v>
      </c>
      <c r="C432" s="9" t="s">
        <v>51</v>
      </c>
      <c r="D432" s="9" t="s">
        <v>2442</v>
      </c>
      <c r="E432" s="9" t="s">
        <v>2443</v>
      </c>
      <c r="F432" s="9" t="s">
        <v>1556</v>
      </c>
      <c r="G432" s="9" t="s">
        <v>2444</v>
      </c>
      <c r="H432" s="9" t="s">
        <v>1558</v>
      </c>
      <c r="I432" s="9">
        <v>2026</v>
      </c>
      <c r="J432" s="9" t="s">
        <v>158</v>
      </c>
      <c r="K432" s="9" t="s">
        <v>2445</v>
      </c>
      <c r="L432" s="9" t="s">
        <v>2446</v>
      </c>
      <c r="M432" s="9" t="s">
        <v>2274</v>
      </c>
      <c r="N432" s="9" t="s">
        <v>2274</v>
      </c>
      <c r="O432" s="9" t="s">
        <v>113</v>
      </c>
      <c r="P432" s="9">
        <v>1</v>
      </c>
      <c r="Q432" s="9"/>
      <c r="R432" s="9"/>
      <c r="S432" s="9" t="s">
        <v>2224</v>
      </c>
    </row>
    <row r="433" spans="1:19">
      <c r="A433" s="9" t="s">
        <v>50</v>
      </c>
      <c r="B433" s="9" t="s">
        <v>2216</v>
      </c>
      <c r="C433" s="9" t="s">
        <v>51</v>
      </c>
      <c r="D433" s="9" t="s">
        <v>2447</v>
      </c>
      <c r="E433" s="9" t="s">
        <v>2448</v>
      </c>
      <c r="F433" s="9" t="s">
        <v>2350</v>
      </c>
      <c r="G433" s="9" t="s">
        <v>2448</v>
      </c>
      <c r="H433" s="9" t="s">
        <v>840</v>
      </c>
      <c r="I433" s="9">
        <v>2023</v>
      </c>
      <c r="J433" s="9" t="s">
        <v>130</v>
      </c>
      <c r="K433" s="9" t="s">
        <v>2449</v>
      </c>
      <c r="L433" s="9" t="s">
        <v>2450</v>
      </c>
      <c r="M433" s="9" t="s">
        <v>2281</v>
      </c>
      <c r="N433" s="9" t="s">
        <v>2281</v>
      </c>
      <c r="O433" s="9" t="s">
        <v>113</v>
      </c>
      <c r="P433" s="9">
        <v>1</v>
      </c>
      <c r="Q433" s="9"/>
      <c r="R433" s="9"/>
      <c r="S433" s="9" t="s">
        <v>2224</v>
      </c>
    </row>
    <row r="434" spans="1:19">
      <c r="A434" s="9" t="s">
        <v>50</v>
      </c>
      <c r="B434" s="9" t="s">
        <v>2216</v>
      </c>
      <c r="C434" s="9" t="s">
        <v>51</v>
      </c>
      <c r="D434" s="9" t="s">
        <v>2451</v>
      </c>
      <c r="E434" s="9" t="s">
        <v>2452</v>
      </c>
      <c r="F434" s="9" t="s">
        <v>2453</v>
      </c>
      <c r="G434" s="9" t="s">
        <v>2454</v>
      </c>
      <c r="H434" s="9" t="s">
        <v>2455</v>
      </c>
      <c r="I434" s="9">
        <v>2025</v>
      </c>
      <c r="J434" s="9" t="s">
        <v>1587</v>
      </c>
      <c r="K434" s="9" t="s">
        <v>2456</v>
      </c>
      <c r="L434" s="9" t="s">
        <v>2457</v>
      </c>
      <c r="M434" s="9" t="s">
        <v>2223</v>
      </c>
      <c r="N434" s="9" t="s">
        <v>2223</v>
      </c>
      <c r="O434" s="9" t="s">
        <v>113</v>
      </c>
      <c r="P434" s="9">
        <v>1</v>
      </c>
      <c r="Q434" s="9"/>
      <c r="R434" s="9"/>
      <c r="S434" s="9" t="s">
        <v>2224</v>
      </c>
    </row>
    <row r="435" spans="1:19">
      <c r="A435" s="9" t="s">
        <v>50</v>
      </c>
      <c r="B435" s="9" t="s">
        <v>2216</v>
      </c>
      <c r="C435" s="9" t="s">
        <v>51</v>
      </c>
      <c r="D435" s="9" t="s">
        <v>2458</v>
      </c>
      <c r="E435" s="9" t="s">
        <v>2459</v>
      </c>
      <c r="F435" s="9" t="s">
        <v>2453</v>
      </c>
      <c r="G435" s="9" t="s">
        <v>2459</v>
      </c>
      <c r="H435" s="9" t="s">
        <v>2460</v>
      </c>
      <c r="I435" s="9">
        <v>2025</v>
      </c>
      <c r="J435" s="9" t="s">
        <v>1947</v>
      </c>
      <c r="K435" s="9" t="s">
        <v>2456</v>
      </c>
      <c r="L435" s="9" t="s">
        <v>2461</v>
      </c>
      <c r="M435" s="9" t="s">
        <v>2223</v>
      </c>
      <c r="N435" s="9" t="s">
        <v>2223</v>
      </c>
      <c r="O435" s="9" t="s">
        <v>113</v>
      </c>
      <c r="P435" s="9">
        <v>1</v>
      </c>
      <c r="Q435" s="9"/>
      <c r="R435" s="9"/>
      <c r="S435" s="9" t="s">
        <v>2224</v>
      </c>
    </row>
    <row r="436" spans="1:19">
      <c r="A436" s="9" t="s">
        <v>50</v>
      </c>
      <c r="B436" s="9" t="s">
        <v>2216</v>
      </c>
      <c r="C436" s="9" t="s">
        <v>51</v>
      </c>
      <c r="D436" s="9" t="s">
        <v>2462</v>
      </c>
      <c r="E436" s="9" t="s">
        <v>2463</v>
      </c>
      <c r="F436" s="9" t="s">
        <v>2453</v>
      </c>
      <c r="G436" s="9" t="s">
        <v>2464</v>
      </c>
      <c r="H436" s="9" t="s">
        <v>1368</v>
      </c>
      <c r="I436" s="9">
        <v>2025</v>
      </c>
      <c r="J436" s="9" t="s">
        <v>677</v>
      </c>
      <c r="K436" s="9" t="s">
        <v>2465</v>
      </c>
      <c r="L436" s="9" t="s">
        <v>2461</v>
      </c>
      <c r="M436" s="9" t="s">
        <v>2223</v>
      </c>
      <c r="N436" s="9" t="s">
        <v>2223</v>
      </c>
      <c r="O436" s="9" t="s">
        <v>113</v>
      </c>
      <c r="P436" s="9">
        <v>1</v>
      </c>
      <c r="Q436" s="9"/>
      <c r="R436" s="9"/>
      <c r="S436" s="9" t="s">
        <v>2224</v>
      </c>
    </row>
    <row r="437" spans="1:19">
      <c r="A437" s="9" t="s">
        <v>50</v>
      </c>
      <c r="B437" s="9" t="s">
        <v>2216</v>
      </c>
      <c r="C437" s="9" t="s">
        <v>51</v>
      </c>
      <c r="D437" s="9" t="s">
        <v>2466</v>
      </c>
      <c r="E437" s="9" t="s">
        <v>2467</v>
      </c>
      <c r="F437" s="9" t="s">
        <v>2333</v>
      </c>
      <c r="G437" s="9" t="s">
        <v>2468</v>
      </c>
      <c r="H437" s="9" t="s">
        <v>2335</v>
      </c>
      <c r="I437" s="9">
        <v>2024</v>
      </c>
      <c r="J437" s="9" t="s">
        <v>158</v>
      </c>
      <c r="K437" s="9" t="s">
        <v>2469</v>
      </c>
      <c r="L437" s="9" t="s">
        <v>2470</v>
      </c>
      <c r="M437" s="9" t="s">
        <v>2223</v>
      </c>
      <c r="N437" s="9" t="s">
        <v>2223</v>
      </c>
      <c r="O437" s="9" t="s">
        <v>113</v>
      </c>
      <c r="P437" s="9">
        <v>1</v>
      </c>
      <c r="Q437" s="9"/>
      <c r="R437" s="9"/>
      <c r="S437" s="9" t="s">
        <v>2224</v>
      </c>
    </row>
    <row r="438" spans="1:19">
      <c r="A438" s="9" t="s">
        <v>50</v>
      </c>
      <c r="B438" s="9" t="s">
        <v>2216</v>
      </c>
      <c r="C438" s="9" t="s">
        <v>51</v>
      </c>
      <c r="D438" s="9" t="s">
        <v>2471</v>
      </c>
      <c r="E438" s="9" t="s">
        <v>2472</v>
      </c>
      <c r="F438" s="9" t="s">
        <v>2453</v>
      </c>
      <c r="G438" s="9" t="s">
        <v>2473</v>
      </c>
      <c r="H438" s="9" t="s">
        <v>2474</v>
      </c>
      <c r="I438" s="9">
        <v>2025</v>
      </c>
      <c r="J438" s="9" t="s">
        <v>2239</v>
      </c>
      <c r="K438" s="9" t="s">
        <v>2475</v>
      </c>
      <c r="L438" s="9" t="s">
        <v>2457</v>
      </c>
      <c r="M438" s="9" t="s">
        <v>2223</v>
      </c>
      <c r="N438" s="9" t="s">
        <v>2223</v>
      </c>
      <c r="O438" s="9" t="s">
        <v>113</v>
      </c>
      <c r="P438" s="9">
        <v>1</v>
      </c>
      <c r="Q438" s="9"/>
      <c r="R438" s="9"/>
      <c r="S438" s="9" t="s">
        <v>2224</v>
      </c>
    </row>
    <row r="439" spans="1:19">
      <c r="A439" s="9" t="s">
        <v>50</v>
      </c>
      <c r="B439" s="9" t="s">
        <v>2216</v>
      </c>
      <c r="C439" s="9" t="s">
        <v>51</v>
      </c>
      <c r="D439" s="9" t="s">
        <v>2476</v>
      </c>
      <c r="E439" s="9" t="s">
        <v>2477</v>
      </c>
      <c r="F439" s="9" t="s">
        <v>2453</v>
      </c>
      <c r="G439" s="9" t="s">
        <v>2478</v>
      </c>
      <c r="H439" s="9" t="s">
        <v>2308</v>
      </c>
      <c r="I439" s="9">
        <v>2024</v>
      </c>
      <c r="J439" s="9" t="s">
        <v>158</v>
      </c>
      <c r="K439" s="9" t="s">
        <v>2456</v>
      </c>
      <c r="L439" s="9" t="s">
        <v>2457</v>
      </c>
      <c r="M439" s="9" t="s">
        <v>2223</v>
      </c>
      <c r="N439" s="9" t="s">
        <v>2223</v>
      </c>
      <c r="O439" s="9" t="s">
        <v>113</v>
      </c>
      <c r="P439" s="9">
        <v>1</v>
      </c>
      <c r="Q439" s="9"/>
      <c r="R439" s="9"/>
      <c r="S439" s="9" t="s">
        <v>2224</v>
      </c>
    </row>
    <row r="440" spans="1:19">
      <c r="A440" s="9" t="s">
        <v>50</v>
      </c>
      <c r="B440" s="9" t="s">
        <v>2216</v>
      </c>
      <c r="C440" s="9" t="s">
        <v>51</v>
      </c>
      <c r="D440" s="9" t="s">
        <v>2479</v>
      </c>
      <c r="E440" s="9" t="s">
        <v>2480</v>
      </c>
      <c r="F440" s="9" t="s">
        <v>2256</v>
      </c>
      <c r="G440" s="9" t="s">
        <v>2481</v>
      </c>
      <c r="H440" s="9" t="s">
        <v>1363</v>
      </c>
      <c r="I440" s="9">
        <v>2026</v>
      </c>
      <c r="J440" s="9" t="s">
        <v>158</v>
      </c>
      <c r="K440" s="9" t="s">
        <v>2482</v>
      </c>
      <c r="L440" s="9" t="s">
        <v>2483</v>
      </c>
      <c r="M440" s="9" t="s">
        <v>2223</v>
      </c>
      <c r="N440" s="9" t="s">
        <v>2223</v>
      </c>
      <c r="O440" s="9" t="s">
        <v>113</v>
      </c>
      <c r="P440" s="9">
        <v>1</v>
      </c>
      <c r="Q440" s="9"/>
      <c r="R440" s="9"/>
      <c r="S440" s="9" t="s">
        <v>2224</v>
      </c>
    </row>
    <row r="441" spans="1:19">
      <c r="A441" s="9" t="s">
        <v>50</v>
      </c>
      <c r="B441" s="9" t="s">
        <v>2216</v>
      </c>
      <c r="C441" s="9" t="s">
        <v>51</v>
      </c>
      <c r="D441" s="9" t="s">
        <v>2484</v>
      </c>
      <c r="E441" s="9" t="s">
        <v>2485</v>
      </c>
      <c r="F441" s="9" t="s">
        <v>2256</v>
      </c>
      <c r="G441" s="9" t="s">
        <v>2486</v>
      </c>
      <c r="H441" s="9" t="s">
        <v>1363</v>
      </c>
      <c r="I441" s="9">
        <v>2026</v>
      </c>
      <c r="J441" s="9" t="s">
        <v>158</v>
      </c>
      <c r="K441" s="9" t="s">
        <v>2487</v>
      </c>
      <c r="L441" s="9" t="s">
        <v>2488</v>
      </c>
      <c r="M441" s="9" t="s">
        <v>2223</v>
      </c>
      <c r="N441" s="9" t="s">
        <v>2223</v>
      </c>
      <c r="O441" s="9" t="s">
        <v>113</v>
      </c>
      <c r="P441" s="9">
        <v>1</v>
      </c>
      <c r="Q441" s="9"/>
      <c r="R441" s="9"/>
      <c r="S441" s="9" t="s">
        <v>2224</v>
      </c>
    </row>
    <row r="442" spans="1:19">
      <c r="A442" s="9" t="s">
        <v>50</v>
      </c>
      <c r="B442" s="9" t="s">
        <v>2216</v>
      </c>
      <c r="C442" s="9" t="s">
        <v>51</v>
      </c>
      <c r="D442" s="9" t="s">
        <v>2489</v>
      </c>
      <c r="E442" s="9" t="s">
        <v>2490</v>
      </c>
      <c r="F442" s="9" t="s">
        <v>1178</v>
      </c>
      <c r="G442" s="9" t="s">
        <v>2491</v>
      </c>
      <c r="H442" s="9" t="s">
        <v>1149</v>
      </c>
      <c r="I442" s="9">
        <v>2025</v>
      </c>
      <c r="J442" s="9" t="s">
        <v>158</v>
      </c>
      <c r="K442" s="9" t="s">
        <v>2492</v>
      </c>
      <c r="L442" s="9" t="s">
        <v>2493</v>
      </c>
      <c r="M442" s="9" t="s">
        <v>2223</v>
      </c>
      <c r="N442" s="9" t="s">
        <v>2223</v>
      </c>
      <c r="O442" s="9" t="s">
        <v>113</v>
      </c>
      <c r="P442" s="9">
        <v>1</v>
      </c>
      <c r="Q442" s="9"/>
      <c r="R442" s="9"/>
      <c r="S442" s="9" t="s">
        <v>2224</v>
      </c>
    </row>
    <row r="443" spans="1:19">
      <c r="A443" s="9" t="s">
        <v>50</v>
      </c>
      <c r="B443" s="9" t="s">
        <v>2216</v>
      </c>
      <c r="C443" s="9" t="s">
        <v>51</v>
      </c>
      <c r="D443" s="9" t="s">
        <v>2494</v>
      </c>
      <c r="E443" s="9" t="s">
        <v>2495</v>
      </c>
      <c r="F443" s="9" t="s">
        <v>2496</v>
      </c>
      <c r="G443" s="9" t="s">
        <v>2497</v>
      </c>
      <c r="H443" s="9" t="s">
        <v>1520</v>
      </c>
      <c r="I443" s="9">
        <v>2026</v>
      </c>
      <c r="J443" s="9" t="s">
        <v>158</v>
      </c>
      <c r="K443" s="9" t="s">
        <v>2498</v>
      </c>
      <c r="L443" s="9" t="s">
        <v>2499</v>
      </c>
      <c r="M443" s="9" t="s">
        <v>2223</v>
      </c>
      <c r="N443" s="9" t="s">
        <v>2223</v>
      </c>
      <c r="O443" s="9" t="s">
        <v>113</v>
      </c>
      <c r="P443" s="9">
        <v>1</v>
      </c>
      <c r="Q443" s="9"/>
      <c r="R443" s="9"/>
      <c r="S443" s="9" t="s">
        <v>2224</v>
      </c>
    </row>
    <row r="444" spans="1:19">
      <c r="A444" s="9" t="s">
        <v>50</v>
      </c>
      <c r="B444" s="9" t="s">
        <v>2216</v>
      </c>
      <c r="C444" s="9" t="s">
        <v>51</v>
      </c>
      <c r="D444" s="9" t="s">
        <v>2500</v>
      </c>
      <c r="E444" s="9" t="s">
        <v>2501</v>
      </c>
      <c r="F444" s="9" t="s">
        <v>2318</v>
      </c>
      <c r="G444" s="9" t="s">
        <v>2501</v>
      </c>
      <c r="H444" s="9" t="s">
        <v>2502</v>
      </c>
      <c r="I444" s="9">
        <v>2020</v>
      </c>
      <c r="J444" s="9" t="s">
        <v>2279</v>
      </c>
      <c r="K444" s="9" t="s">
        <v>2503</v>
      </c>
      <c r="L444" s="9"/>
      <c r="M444" s="9" t="s">
        <v>2223</v>
      </c>
      <c r="N444" s="9" t="s">
        <v>2223</v>
      </c>
      <c r="O444" s="9" t="s">
        <v>113</v>
      </c>
      <c r="P444" s="9">
        <v>1</v>
      </c>
      <c r="Q444" s="9"/>
      <c r="R444" s="9"/>
      <c r="S444" s="9" t="s">
        <v>2224</v>
      </c>
    </row>
    <row r="445" spans="1:19">
      <c r="A445" s="9" t="s">
        <v>50</v>
      </c>
      <c r="B445" s="9" t="s">
        <v>2216</v>
      </c>
      <c r="C445" s="9" t="s">
        <v>51</v>
      </c>
      <c r="D445" s="9" t="s">
        <v>2504</v>
      </c>
      <c r="E445" s="9" t="s">
        <v>2505</v>
      </c>
      <c r="F445" s="9" t="s">
        <v>2506</v>
      </c>
      <c r="G445" s="9" t="s">
        <v>2505</v>
      </c>
      <c r="H445" s="9" t="s">
        <v>1823</v>
      </c>
      <c r="I445" s="9">
        <v>2020</v>
      </c>
      <c r="J445" s="9" t="s">
        <v>130</v>
      </c>
      <c r="K445" s="9" t="s">
        <v>2503</v>
      </c>
      <c r="L445" s="9" t="s">
        <v>2507</v>
      </c>
      <c r="M445" s="9" t="s">
        <v>2281</v>
      </c>
      <c r="N445" s="9" t="s">
        <v>2281</v>
      </c>
      <c r="O445" s="9" t="s">
        <v>113</v>
      </c>
      <c r="P445" s="9">
        <v>1</v>
      </c>
      <c r="Q445" s="9"/>
      <c r="R445" s="9"/>
      <c r="S445" s="9" t="s">
        <v>2224</v>
      </c>
    </row>
    <row r="446" spans="1:19">
      <c r="A446" s="9" t="s">
        <v>50</v>
      </c>
      <c r="B446" s="9" t="s">
        <v>2216</v>
      </c>
      <c r="C446" s="9" t="s">
        <v>51</v>
      </c>
      <c r="D446" s="9" t="s">
        <v>2508</v>
      </c>
      <c r="E446" s="9" t="s">
        <v>2509</v>
      </c>
      <c r="F446" s="9" t="s">
        <v>2510</v>
      </c>
      <c r="G446" s="9" t="s">
        <v>2511</v>
      </c>
      <c r="H446" s="9" t="s">
        <v>2512</v>
      </c>
      <c r="I446" s="9">
        <v>2026</v>
      </c>
      <c r="J446" s="9" t="s">
        <v>158</v>
      </c>
      <c r="K446" s="9" t="s">
        <v>2513</v>
      </c>
      <c r="L446" s="9" t="s">
        <v>2514</v>
      </c>
      <c r="M446" s="9" t="s">
        <v>2274</v>
      </c>
      <c r="N446" s="9" t="s">
        <v>2274</v>
      </c>
      <c r="O446" s="9" t="s">
        <v>113</v>
      </c>
      <c r="P446" s="9">
        <v>1</v>
      </c>
      <c r="Q446" s="9"/>
      <c r="R446" s="9"/>
      <c r="S446" s="9" t="s">
        <v>2224</v>
      </c>
    </row>
    <row r="447" spans="1:19">
      <c r="A447" s="9" t="s">
        <v>50</v>
      </c>
      <c r="B447" s="9" t="s">
        <v>2216</v>
      </c>
      <c r="C447" s="9" t="s">
        <v>51</v>
      </c>
      <c r="D447" s="9" t="s">
        <v>2515</v>
      </c>
      <c r="E447" s="9" t="s">
        <v>2516</v>
      </c>
      <c r="F447" s="9" t="s">
        <v>2517</v>
      </c>
      <c r="G447" s="9" t="s">
        <v>2518</v>
      </c>
      <c r="H447" s="9" t="s">
        <v>2335</v>
      </c>
      <c r="I447" s="9">
        <v>2024</v>
      </c>
      <c r="J447" s="9" t="s">
        <v>158</v>
      </c>
      <c r="K447" s="9" t="s">
        <v>2519</v>
      </c>
      <c r="L447" s="9" t="s">
        <v>2520</v>
      </c>
      <c r="M447" s="9" t="s">
        <v>2223</v>
      </c>
      <c r="N447" s="9" t="s">
        <v>2223</v>
      </c>
      <c r="O447" s="9" t="s">
        <v>113</v>
      </c>
      <c r="P447" s="9">
        <v>1</v>
      </c>
      <c r="Q447" s="9"/>
      <c r="R447" s="9"/>
      <c r="S447" s="9" t="s">
        <v>2224</v>
      </c>
    </row>
    <row r="448" spans="1:19">
      <c r="A448" s="9" t="s">
        <v>50</v>
      </c>
      <c r="B448" s="9" t="s">
        <v>2216</v>
      </c>
      <c r="C448" s="9" t="s">
        <v>51</v>
      </c>
      <c r="D448" s="9" t="s">
        <v>2521</v>
      </c>
      <c r="E448" s="9" t="s">
        <v>2522</v>
      </c>
      <c r="F448" s="9" t="s">
        <v>2523</v>
      </c>
      <c r="G448" s="9" t="s">
        <v>2524</v>
      </c>
      <c r="H448" s="9" t="s">
        <v>1122</v>
      </c>
      <c r="I448" s="9">
        <v>2025</v>
      </c>
      <c r="J448" s="9" t="s">
        <v>158</v>
      </c>
      <c r="K448" s="9" t="s">
        <v>2525</v>
      </c>
      <c r="L448" s="9" t="s">
        <v>2526</v>
      </c>
      <c r="M448" s="9" t="s">
        <v>2274</v>
      </c>
      <c r="N448" s="9" t="s">
        <v>2274</v>
      </c>
      <c r="O448" s="9" t="s">
        <v>113</v>
      </c>
      <c r="P448" s="9">
        <v>1</v>
      </c>
      <c r="Q448" s="9"/>
      <c r="R448" s="9"/>
      <c r="S448" s="9" t="s">
        <v>2224</v>
      </c>
    </row>
    <row r="449" spans="1:19">
      <c r="A449" s="9" t="s">
        <v>50</v>
      </c>
      <c r="B449" s="9" t="s">
        <v>2216</v>
      </c>
      <c r="C449" s="9" t="s">
        <v>51</v>
      </c>
      <c r="D449" s="9" t="s">
        <v>2527</v>
      </c>
      <c r="E449" s="9" t="s">
        <v>2528</v>
      </c>
      <c r="F449" s="9" t="s">
        <v>2256</v>
      </c>
      <c r="G449" s="9" t="s">
        <v>2529</v>
      </c>
      <c r="H449" s="9" t="s">
        <v>1363</v>
      </c>
      <c r="I449" s="9">
        <v>2026</v>
      </c>
      <c r="J449" s="9" t="s">
        <v>158</v>
      </c>
      <c r="K449" s="9" t="s">
        <v>2530</v>
      </c>
      <c r="L449" s="9" t="s">
        <v>2531</v>
      </c>
      <c r="M449" s="9" t="s">
        <v>2223</v>
      </c>
      <c r="N449" s="9" t="s">
        <v>2223</v>
      </c>
      <c r="O449" s="9" t="s">
        <v>113</v>
      </c>
      <c r="P449" s="9">
        <v>1</v>
      </c>
      <c r="Q449" s="9"/>
      <c r="R449" s="9"/>
      <c r="S449" s="9" t="s">
        <v>2224</v>
      </c>
    </row>
    <row r="450" spans="1:19">
      <c r="A450" s="9" t="s">
        <v>50</v>
      </c>
      <c r="B450" s="9" t="s">
        <v>2216</v>
      </c>
      <c r="C450" s="9" t="s">
        <v>51</v>
      </c>
      <c r="D450" s="9" t="s">
        <v>2532</v>
      </c>
      <c r="E450" s="9" t="s">
        <v>2533</v>
      </c>
      <c r="F450" s="9" t="s">
        <v>2256</v>
      </c>
      <c r="G450" s="9" t="s">
        <v>2534</v>
      </c>
      <c r="H450" s="9" t="s">
        <v>1363</v>
      </c>
      <c r="I450" s="9">
        <v>2026</v>
      </c>
      <c r="J450" s="9" t="s">
        <v>158</v>
      </c>
      <c r="K450" s="9" t="s">
        <v>2535</v>
      </c>
      <c r="L450" s="9" t="s">
        <v>2536</v>
      </c>
      <c r="M450" s="9" t="s">
        <v>2223</v>
      </c>
      <c r="N450" s="9" t="s">
        <v>2223</v>
      </c>
      <c r="O450" s="9" t="s">
        <v>113</v>
      </c>
      <c r="P450" s="9">
        <v>1</v>
      </c>
      <c r="Q450" s="9"/>
      <c r="R450" s="9"/>
      <c r="S450" s="9" t="s">
        <v>2224</v>
      </c>
    </row>
    <row r="451" spans="1:19">
      <c r="A451" s="9" t="s">
        <v>50</v>
      </c>
      <c r="B451" s="9" t="s">
        <v>2216</v>
      </c>
      <c r="C451" s="9" t="s">
        <v>51</v>
      </c>
      <c r="D451" s="9" t="s">
        <v>2537</v>
      </c>
      <c r="E451" s="9" t="s">
        <v>2538</v>
      </c>
      <c r="F451" s="9" t="s">
        <v>2539</v>
      </c>
      <c r="G451" s="9" t="s">
        <v>2540</v>
      </c>
      <c r="H451" s="9" t="s">
        <v>1551</v>
      </c>
      <c r="I451" s="9">
        <v>2026</v>
      </c>
      <c r="J451" s="9" t="s">
        <v>158</v>
      </c>
      <c r="K451" s="9" t="s">
        <v>2541</v>
      </c>
      <c r="L451" s="9" t="s">
        <v>2542</v>
      </c>
      <c r="M451" s="9" t="s">
        <v>2274</v>
      </c>
      <c r="N451" s="9" t="s">
        <v>2274</v>
      </c>
      <c r="O451" s="9" t="s">
        <v>113</v>
      </c>
      <c r="P451" s="9">
        <v>1</v>
      </c>
      <c r="Q451" s="9"/>
      <c r="R451" s="9"/>
      <c r="S451" s="9" t="s">
        <v>2224</v>
      </c>
    </row>
    <row r="452" spans="1:19">
      <c r="A452" s="9" t="s">
        <v>50</v>
      </c>
      <c r="B452" s="9" t="s">
        <v>2216</v>
      </c>
      <c r="C452" s="9" t="s">
        <v>51</v>
      </c>
      <c r="D452" s="9" t="s">
        <v>2543</v>
      </c>
      <c r="E452" s="9" t="s">
        <v>2544</v>
      </c>
      <c r="F452" s="9" t="s">
        <v>2545</v>
      </c>
      <c r="G452" s="9" t="s">
        <v>2546</v>
      </c>
      <c r="H452" s="9" t="s">
        <v>1186</v>
      </c>
      <c r="I452" s="9">
        <v>2025</v>
      </c>
      <c r="J452" s="9" t="s">
        <v>158</v>
      </c>
      <c r="K452" s="9" t="s">
        <v>2547</v>
      </c>
      <c r="L452" s="9" t="s">
        <v>2548</v>
      </c>
      <c r="M452" s="9" t="s">
        <v>2223</v>
      </c>
      <c r="N452" s="9" t="s">
        <v>2223</v>
      </c>
      <c r="O452" s="9" t="s">
        <v>113</v>
      </c>
      <c r="P452" s="9">
        <v>1</v>
      </c>
      <c r="Q452" s="9"/>
      <c r="R452" s="9"/>
      <c r="S452" s="9" t="s">
        <v>2224</v>
      </c>
    </row>
    <row r="453" spans="1:19">
      <c r="A453" s="9" t="s">
        <v>50</v>
      </c>
      <c r="B453" s="9" t="s">
        <v>2216</v>
      </c>
      <c r="C453" s="9" t="s">
        <v>51</v>
      </c>
      <c r="D453" s="9" t="s">
        <v>2549</v>
      </c>
      <c r="E453" s="9" t="s">
        <v>2550</v>
      </c>
      <c r="F453" s="9" t="s">
        <v>2350</v>
      </c>
      <c r="G453" s="9" t="s">
        <v>2550</v>
      </c>
      <c r="H453" s="9" t="s">
        <v>840</v>
      </c>
      <c r="I453" s="9">
        <v>2023</v>
      </c>
      <c r="J453" s="9" t="s">
        <v>130</v>
      </c>
      <c r="K453" s="9" t="s">
        <v>2551</v>
      </c>
      <c r="L453" s="9" t="s">
        <v>2552</v>
      </c>
      <c r="M453" s="9" t="s">
        <v>2281</v>
      </c>
      <c r="N453" s="9" t="s">
        <v>2281</v>
      </c>
      <c r="O453" s="9" t="s">
        <v>113</v>
      </c>
      <c r="P453" s="9">
        <v>1</v>
      </c>
      <c r="Q453" s="9"/>
      <c r="R453" s="9"/>
      <c r="S453" s="9" t="s">
        <v>2224</v>
      </c>
    </row>
    <row r="454" spans="1:19">
      <c r="A454" s="9" t="s">
        <v>50</v>
      </c>
      <c r="B454" s="9" t="s">
        <v>2216</v>
      </c>
      <c r="C454" s="9" t="s">
        <v>51</v>
      </c>
      <c r="D454" s="9" t="s">
        <v>2553</v>
      </c>
      <c r="E454" s="9" t="s">
        <v>2554</v>
      </c>
      <c r="F454" s="9" t="s">
        <v>2517</v>
      </c>
      <c r="G454" s="9" t="s">
        <v>2555</v>
      </c>
      <c r="H454" s="9" t="s">
        <v>2335</v>
      </c>
      <c r="I454" s="9">
        <v>2024</v>
      </c>
      <c r="J454" s="9" t="s">
        <v>158</v>
      </c>
      <c r="K454" s="9" t="s">
        <v>2556</v>
      </c>
      <c r="L454" s="9" t="s">
        <v>2557</v>
      </c>
      <c r="M454" s="9" t="s">
        <v>2223</v>
      </c>
      <c r="N454" s="9" t="s">
        <v>2223</v>
      </c>
      <c r="O454" s="9" t="s">
        <v>113</v>
      </c>
      <c r="P454" s="9">
        <v>1</v>
      </c>
      <c r="Q454" s="9"/>
      <c r="R454" s="9"/>
      <c r="S454" s="9" t="s">
        <v>2224</v>
      </c>
    </row>
    <row r="455" spans="1:19">
      <c r="A455" s="9" t="s">
        <v>50</v>
      </c>
      <c r="B455" s="9" t="s">
        <v>2216</v>
      </c>
      <c r="C455" s="9" t="s">
        <v>51</v>
      </c>
      <c r="D455" s="9" t="s">
        <v>2558</v>
      </c>
      <c r="E455" s="9" t="s">
        <v>2559</v>
      </c>
      <c r="F455" s="9" t="s">
        <v>2560</v>
      </c>
      <c r="G455" s="9" t="s">
        <v>2559</v>
      </c>
      <c r="H455" s="9" t="s">
        <v>2561</v>
      </c>
      <c r="I455" s="9">
        <v>2021</v>
      </c>
      <c r="J455" s="9" t="s">
        <v>130</v>
      </c>
      <c r="K455" s="9" t="s">
        <v>2562</v>
      </c>
      <c r="L455" s="9" t="s">
        <v>2563</v>
      </c>
      <c r="M455" s="9" t="s">
        <v>2281</v>
      </c>
      <c r="N455" s="9" t="s">
        <v>2281</v>
      </c>
      <c r="O455" s="9" t="s">
        <v>113</v>
      </c>
      <c r="P455" s="9">
        <v>1</v>
      </c>
      <c r="Q455" s="9"/>
      <c r="R455" s="9"/>
      <c r="S455" s="9" t="s">
        <v>2224</v>
      </c>
    </row>
    <row r="456" spans="1:19">
      <c r="A456" s="9" t="s">
        <v>50</v>
      </c>
      <c r="B456" s="9" t="s">
        <v>2216</v>
      </c>
      <c r="C456" s="9" t="s">
        <v>51</v>
      </c>
      <c r="D456" s="9" t="s">
        <v>2564</v>
      </c>
      <c r="E456" s="9" t="s">
        <v>2565</v>
      </c>
      <c r="F456" s="9" t="s">
        <v>2391</v>
      </c>
      <c r="G456" s="9" t="s">
        <v>2566</v>
      </c>
      <c r="H456" s="9" t="s">
        <v>1363</v>
      </c>
      <c r="I456" s="9">
        <v>2026</v>
      </c>
      <c r="J456" s="9" t="s">
        <v>158</v>
      </c>
      <c r="K456" s="9" t="s">
        <v>2567</v>
      </c>
      <c r="L456" s="9" t="s">
        <v>2394</v>
      </c>
      <c r="M456" s="9" t="s">
        <v>2223</v>
      </c>
      <c r="N456" s="9" t="s">
        <v>2223</v>
      </c>
      <c r="O456" s="9" t="s">
        <v>113</v>
      </c>
      <c r="P456" s="9">
        <v>1</v>
      </c>
      <c r="Q456" s="9"/>
      <c r="R456" s="9"/>
      <c r="S456" s="9" t="s">
        <v>2224</v>
      </c>
    </row>
    <row r="457" spans="1:19">
      <c r="A457" s="9" t="s">
        <v>50</v>
      </c>
      <c r="B457" s="9" t="s">
        <v>2216</v>
      </c>
      <c r="C457" s="9" t="s">
        <v>51</v>
      </c>
      <c r="D457" s="9" t="s">
        <v>2568</v>
      </c>
      <c r="E457" s="9" t="s">
        <v>2569</v>
      </c>
      <c r="F457" s="9" t="s">
        <v>2256</v>
      </c>
      <c r="G457" s="9" t="s">
        <v>2570</v>
      </c>
      <c r="H457" s="9" t="s">
        <v>1363</v>
      </c>
      <c r="I457" s="9">
        <v>2026</v>
      </c>
      <c r="J457" s="9" t="s">
        <v>158</v>
      </c>
      <c r="K457" s="9" t="s">
        <v>2571</v>
      </c>
      <c r="L457" s="9" t="s">
        <v>2572</v>
      </c>
      <c r="M457" s="9" t="s">
        <v>2223</v>
      </c>
      <c r="N457" s="9" t="s">
        <v>2223</v>
      </c>
      <c r="O457" s="9" t="s">
        <v>113</v>
      </c>
      <c r="P457" s="9">
        <v>1</v>
      </c>
      <c r="Q457" s="9"/>
      <c r="R457" s="9"/>
      <c r="S457" s="9" t="s">
        <v>2224</v>
      </c>
    </row>
    <row r="458" spans="1:19">
      <c r="A458" s="9" t="s">
        <v>50</v>
      </c>
      <c r="B458" s="9" t="s">
        <v>2216</v>
      </c>
      <c r="C458" s="9" t="s">
        <v>51</v>
      </c>
      <c r="D458" s="9" t="s">
        <v>2573</v>
      </c>
      <c r="E458" s="9" t="s">
        <v>2574</v>
      </c>
      <c r="F458" s="9" t="s">
        <v>2575</v>
      </c>
      <c r="G458" s="9" t="s">
        <v>2576</v>
      </c>
      <c r="H458" s="9" t="s">
        <v>1149</v>
      </c>
      <c r="I458" s="9">
        <v>2025</v>
      </c>
      <c r="J458" s="9" t="s">
        <v>158</v>
      </c>
      <c r="K458" s="9" t="s">
        <v>2577</v>
      </c>
      <c r="L458" s="9" t="s">
        <v>2578</v>
      </c>
      <c r="M458" s="9" t="s">
        <v>2223</v>
      </c>
      <c r="N458" s="9" t="s">
        <v>2223</v>
      </c>
      <c r="O458" s="9" t="s">
        <v>113</v>
      </c>
      <c r="P458" s="9">
        <v>1</v>
      </c>
      <c r="Q458" s="9"/>
      <c r="R458" s="9"/>
      <c r="S458" s="9" t="s">
        <v>2224</v>
      </c>
    </row>
    <row r="459" spans="1:19">
      <c r="A459" s="9" t="s">
        <v>50</v>
      </c>
      <c r="B459" s="9" t="s">
        <v>2216</v>
      </c>
      <c r="C459" s="9" t="s">
        <v>51</v>
      </c>
      <c r="D459" s="9" t="s">
        <v>2579</v>
      </c>
      <c r="E459" s="9" t="s">
        <v>2580</v>
      </c>
      <c r="F459" s="9" t="s">
        <v>2333</v>
      </c>
      <c r="G459" s="9" t="s">
        <v>2581</v>
      </c>
      <c r="H459" s="9" t="s">
        <v>2582</v>
      </c>
      <c r="I459" s="9">
        <v>2024</v>
      </c>
      <c r="J459" s="9" t="s">
        <v>158</v>
      </c>
      <c r="K459" s="9" t="s">
        <v>2583</v>
      </c>
      <c r="L459" s="9" t="s">
        <v>2584</v>
      </c>
      <c r="M459" s="9" t="s">
        <v>2223</v>
      </c>
      <c r="N459" s="9" t="s">
        <v>2223</v>
      </c>
      <c r="O459" s="9" t="s">
        <v>113</v>
      </c>
      <c r="P459" s="9">
        <v>1</v>
      </c>
      <c r="Q459" s="9"/>
      <c r="R459" s="9"/>
      <c r="S459" s="9" t="s">
        <v>2224</v>
      </c>
    </row>
    <row r="460" spans="1:19">
      <c r="A460" s="9" t="s">
        <v>50</v>
      </c>
      <c r="B460" s="9" t="s">
        <v>2216</v>
      </c>
      <c r="C460" s="9" t="s">
        <v>51</v>
      </c>
      <c r="D460" s="9" t="s">
        <v>2585</v>
      </c>
      <c r="E460" s="9" t="s">
        <v>2586</v>
      </c>
      <c r="F460" s="9" t="s">
        <v>2587</v>
      </c>
      <c r="G460" s="9" t="s">
        <v>2586</v>
      </c>
      <c r="H460" s="9" t="s">
        <v>2588</v>
      </c>
      <c r="I460" s="9">
        <v>2020</v>
      </c>
      <c r="J460" s="9" t="s">
        <v>130</v>
      </c>
      <c r="K460" s="9" t="s">
        <v>2589</v>
      </c>
      <c r="L460" s="9" t="s">
        <v>2590</v>
      </c>
      <c r="M460" s="9" t="s">
        <v>2281</v>
      </c>
      <c r="N460" s="9" t="s">
        <v>2281</v>
      </c>
      <c r="O460" s="9" t="s">
        <v>113</v>
      </c>
      <c r="P460" s="9">
        <v>1</v>
      </c>
      <c r="Q460" s="9"/>
      <c r="R460" s="9"/>
      <c r="S460" s="9" t="s">
        <v>2224</v>
      </c>
    </row>
    <row r="461" spans="1:19">
      <c r="A461" s="9" t="s">
        <v>50</v>
      </c>
      <c r="B461" s="9" t="s">
        <v>2216</v>
      </c>
      <c r="C461" s="9" t="s">
        <v>51</v>
      </c>
      <c r="D461" s="9" t="s">
        <v>2591</v>
      </c>
      <c r="E461" s="9" t="s">
        <v>2592</v>
      </c>
      <c r="F461" s="9" t="s">
        <v>2593</v>
      </c>
      <c r="G461" s="9" t="s">
        <v>2592</v>
      </c>
      <c r="H461" s="9" t="s">
        <v>2319</v>
      </c>
      <c r="I461" s="9">
        <v>2020</v>
      </c>
      <c r="J461" s="9" t="s">
        <v>2279</v>
      </c>
      <c r="K461" s="9" t="s">
        <v>2594</v>
      </c>
      <c r="L461" s="9"/>
      <c r="M461" s="9" t="s">
        <v>2281</v>
      </c>
      <c r="N461" s="9" t="s">
        <v>2281</v>
      </c>
      <c r="O461" s="9" t="s">
        <v>113</v>
      </c>
      <c r="P461" s="9">
        <v>1</v>
      </c>
      <c r="Q461" s="9"/>
      <c r="R461" s="9"/>
      <c r="S461" s="9" t="s">
        <v>2224</v>
      </c>
    </row>
    <row r="462" spans="1:19">
      <c r="A462" s="9" t="s">
        <v>50</v>
      </c>
      <c r="B462" s="9" t="s">
        <v>2216</v>
      </c>
      <c r="C462" s="9" t="s">
        <v>51</v>
      </c>
      <c r="D462" s="9" t="s">
        <v>2595</v>
      </c>
      <c r="E462" s="9" t="s">
        <v>2596</v>
      </c>
      <c r="F462" s="9" t="s">
        <v>2597</v>
      </c>
      <c r="G462" s="9" t="s">
        <v>2596</v>
      </c>
      <c r="H462" s="9" t="s">
        <v>2598</v>
      </c>
      <c r="I462" s="9">
        <v>2021</v>
      </c>
      <c r="J462" s="9" t="s">
        <v>2360</v>
      </c>
      <c r="K462" s="9" t="s">
        <v>2599</v>
      </c>
      <c r="L462" s="9" t="s">
        <v>2600</v>
      </c>
      <c r="M462" s="9" t="s">
        <v>2223</v>
      </c>
      <c r="N462" s="9" t="s">
        <v>2223</v>
      </c>
      <c r="O462" s="9" t="s">
        <v>113</v>
      </c>
      <c r="P462" s="9">
        <v>1</v>
      </c>
      <c r="Q462" s="9"/>
      <c r="R462" s="9"/>
      <c r="S462" s="9" t="s">
        <v>2224</v>
      </c>
    </row>
    <row r="463" spans="1:19">
      <c r="A463" s="9" t="s">
        <v>50</v>
      </c>
      <c r="B463" s="9" t="s">
        <v>2216</v>
      </c>
      <c r="C463" s="9" t="s">
        <v>51</v>
      </c>
      <c r="D463" s="9" t="s">
        <v>2601</v>
      </c>
      <c r="E463" s="9" t="s">
        <v>2602</v>
      </c>
      <c r="F463" s="9" t="s">
        <v>2603</v>
      </c>
      <c r="G463" s="9" t="s">
        <v>2602</v>
      </c>
      <c r="H463" s="9" t="s">
        <v>2604</v>
      </c>
      <c r="I463" s="9">
        <v>2021</v>
      </c>
      <c r="J463" s="9" t="s">
        <v>1947</v>
      </c>
      <c r="K463" s="9" t="s">
        <v>2589</v>
      </c>
      <c r="L463" s="9" t="s">
        <v>2605</v>
      </c>
      <c r="M463" s="9" t="s">
        <v>2223</v>
      </c>
      <c r="N463" s="9" t="s">
        <v>2223</v>
      </c>
      <c r="O463" s="9" t="s">
        <v>113</v>
      </c>
      <c r="P463" s="9">
        <v>1</v>
      </c>
      <c r="Q463" s="9"/>
      <c r="R463" s="9"/>
      <c r="S463" s="9" t="s">
        <v>2224</v>
      </c>
    </row>
    <row r="464" spans="1:19">
      <c r="A464" s="9" t="s">
        <v>50</v>
      </c>
      <c r="B464" s="9" t="s">
        <v>2216</v>
      </c>
      <c r="C464" s="9" t="s">
        <v>51</v>
      </c>
      <c r="D464" s="9" t="s">
        <v>2606</v>
      </c>
      <c r="E464" s="9" t="s">
        <v>2607</v>
      </c>
      <c r="F464" s="9" t="s">
        <v>2597</v>
      </c>
      <c r="G464" s="9" t="s">
        <v>2608</v>
      </c>
      <c r="H464" s="9" t="s">
        <v>2609</v>
      </c>
      <c r="I464" s="9">
        <v>2021</v>
      </c>
      <c r="J464" s="9" t="s">
        <v>2610</v>
      </c>
      <c r="K464" s="9" t="s">
        <v>2611</v>
      </c>
      <c r="L464" s="9" t="s">
        <v>2605</v>
      </c>
      <c r="M464" s="9" t="s">
        <v>2223</v>
      </c>
      <c r="N464" s="9" t="s">
        <v>2223</v>
      </c>
      <c r="O464" s="9" t="s">
        <v>113</v>
      </c>
      <c r="P464" s="9">
        <v>1</v>
      </c>
      <c r="Q464" s="9"/>
      <c r="R464" s="9"/>
      <c r="S464" s="9" t="s">
        <v>2224</v>
      </c>
    </row>
    <row r="465" spans="1:19">
      <c r="A465" s="9" t="s">
        <v>50</v>
      </c>
      <c r="B465" s="9" t="s">
        <v>2216</v>
      </c>
      <c r="C465" s="9" t="s">
        <v>51</v>
      </c>
      <c r="D465" s="9" t="s">
        <v>2612</v>
      </c>
      <c r="E465" s="9" t="s">
        <v>2613</v>
      </c>
      <c r="F465" s="9" t="s">
        <v>2614</v>
      </c>
      <c r="G465" s="9" t="s">
        <v>2613</v>
      </c>
      <c r="H465" s="9" t="s">
        <v>1998</v>
      </c>
      <c r="I465" s="9">
        <v>2021</v>
      </c>
      <c r="J465" s="9" t="s">
        <v>2367</v>
      </c>
      <c r="K465" s="9" t="s">
        <v>2615</v>
      </c>
      <c r="L465" s="9" t="s">
        <v>2616</v>
      </c>
      <c r="M465" s="9" t="s">
        <v>2223</v>
      </c>
      <c r="N465" s="9" t="s">
        <v>2223</v>
      </c>
      <c r="O465" s="9" t="s">
        <v>113</v>
      </c>
      <c r="P465" s="9">
        <v>1</v>
      </c>
      <c r="Q465" s="9"/>
      <c r="R465" s="9"/>
      <c r="S465" s="9" t="s">
        <v>2224</v>
      </c>
    </row>
    <row r="466" spans="1:19">
      <c r="A466" s="9" t="s">
        <v>50</v>
      </c>
      <c r="B466" s="9" t="s">
        <v>2216</v>
      </c>
      <c r="C466" s="9" t="s">
        <v>51</v>
      </c>
      <c r="D466" s="9" t="s">
        <v>2617</v>
      </c>
      <c r="E466" s="9" t="s">
        <v>2618</v>
      </c>
      <c r="F466" s="9" t="s">
        <v>2597</v>
      </c>
      <c r="G466" s="9" t="s">
        <v>2619</v>
      </c>
      <c r="H466" s="9" t="s">
        <v>2620</v>
      </c>
      <c r="I466" s="9">
        <v>2021</v>
      </c>
      <c r="J466" s="9" t="s">
        <v>677</v>
      </c>
      <c r="K466" s="9" t="s">
        <v>2589</v>
      </c>
      <c r="L466" s="9" t="s">
        <v>2605</v>
      </c>
      <c r="M466" s="9" t="s">
        <v>2223</v>
      </c>
      <c r="N466" s="9" t="s">
        <v>2223</v>
      </c>
      <c r="O466" s="9" t="s">
        <v>113</v>
      </c>
      <c r="P466" s="9">
        <v>1</v>
      </c>
      <c r="Q466" s="9"/>
      <c r="R466" s="9"/>
      <c r="S466" s="9" t="s">
        <v>2224</v>
      </c>
    </row>
    <row r="467" spans="1:19">
      <c r="A467" s="9" t="s">
        <v>50</v>
      </c>
      <c r="B467" s="9" t="s">
        <v>2216</v>
      </c>
      <c r="C467" s="9" t="s">
        <v>51</v>
      </c>
      <c r="D467" s="9" t="s">
        <v>2621</v>
      </c>
      <c r="E467" s="9" t="s">
        <v>2622</v>
      </c>
      <c r="F467" s="9" t="s">
        <v>2597</v>
      </c>
      <c r="G467" s="9" t="s">
        <v>2623</v>
      </c>
      <c r="H467" s="9" t="s">
        <v>2624</v>
      </c>
      <c r="I467" s="9">
        <v>2020</v>
      </c>
      <c r="J467" s="9" t="s">
        <v>158</v>
      </c>
      <c r="K467" s="9" t="s">
        <v>2589</v>
      </c>
      <c r="L467" s="9" t="s">
        <v>2625</v>
      </c>
      <c r="M467" s="9" t="s">
        <v>2223</v>
      </c>
      <c r="N467" s="9" t="s">
        <v>2223</v>
      </c>
      <c r="O467" s="9" t="s">
        <v>113</v>
      </c>
      <c r="P467" s="9">
        <v>1</v>
      </c>
      <c r="Q467" s="9"/>
      <c r="R467" s="9"/>
      <c r="S467" s="9" t="s">
        <v>2224</v>
      </c>
    </row>
    <row r="468" spans="1:19">
      <c r="A468" s="9" t="s">
        <v>50</v>
      </c>
      <c r="B468" s="9" t="s">
        <v>2216</v>
      </c>
      <c r="C468" s="9" t="s">
        <v>51</v>
      </c>
      <c r="D468" s="9" t="s">
        <v>2626</v>
      </c>
      <c r="E468" s="9" t="s">
        <v>2627</v>
      </c>
      <c r="F468" s="9" t="s">
        <v>2597</v>
      </c>
      <c r="G468" s="9" t="s">
        <v>2627</v>
      </c>
      <c r="H468" s="9" t="s">
        <v>2628</v>
      </c>
      <c r="I468" s="9">
        <v>2026</v>
      </c>
      <c r="J468" s="9" t="s">
        <v>2360</v>
      </c>
      <c r="K468" s="9" t="s">
        <v>2629</v>
      </c>
      <c r="L468" s="9" t="s">
        <v>2630</v>
      </c>
      <c r="M468" s="9" t="s">
        <v>2223</v>
      </c>
      <c r="N468" s="9" t="s">
        <v>2223</v>
      </c>
      <c r="O468" s="9" t="s">
        <v>113</v>
      </c>
      <c r="P468" s="9">
        <v>1</v>
      </c>
      <c r="Q468" s="9"/>
      <c r="R468" s="9"/>
      <c r="S468" s="9" t="s">
        <v>2224</v>
      </c>
    </row>
    <row r="469" spans="1:19">
      <c r="A469" s="9" t="s">
        <v>50</v>
      </c>
      <c r="B469" s="9" t="s">
        <v>2216</v>
      </c>
      <c r="C469" s="9" t="s">
        <v>51</v>
      </c>
      <c r="D469" s="9" t="s">
        <v>2631</v>
      </c>
      <c r="E469" s="9" t="s">
        <v>2632</v>
      </c>
      <c r="F469" s="9" t="s">
        <v>2597</v>
      </c>
      <c r="G469" s="9" t="s">
        <v>2632</v>
      </c>
      <c r="H469" s="9" t="s">
        <v>2604</v>
      </c>
      <c r="I469" s="9">
        <v>2021</v>
      </c>
      <c r="J469" s="9" t="s">
        <v>1947</v>
      </c>
      <c r="K469" s="9" t="s">
        <v>2589</v>
      </c>
      <c r="L469" s="9" t="s">
        <v>2605</v>
      </c>
      <c r="M469" s="9" t="s">
        <v>2223</v>
      </c>
      <c r="N469" s="9" t="s">
        <v>2223</v>
      </c>
      <c r="O469" s="9" t="s">
        <v>113</v>
      </c>
      <c r="P469" s="9">
        <v>1</v>
      </c>
      <c r="Q469" s="9"/>
      <c r="R469" s="9"/>
      <c r="S469" s="9" t="s">
        <v>2224</v>
      </c>
    </row>
    <row r="470" spans="1:19">
      <c r="A470" s="9" t="s">
        <v>50</v>
      </c>
      <c r="B470" s="9" t="s">
        <v>2216</v>
      </c>
      <c r="C470" s="9" t="s">
        <v>51</v>
      </c>
      <c r="D470" s="9" t="s">
        <v>2633</v>
      </c>
      <c r="E470" s="9" t="s">
        <v>2634</v>
      </c>
      <c r="F470" s="9" t="s">
        <v>2517</v>
      </c>
      <c r="G470" s="9" t="s">
        <v>2635</v>
      </c>
      <c r="H470" s="9" t="s">
        <v>2335</v>
      </c>
      <c r="I470" s="9">
        <v>2024</v>
      </c>
      <c r="J470" s="9" t="s">
        <v>158</v>
      </c>
      <c r="K470" s="9" t="s">
        <v>2636</v>
      </c>
      <c r="L470" s="9" t="s">
        <v>2637</v>
      </c>
      <c r="M470" s="9" t="s">
        <v>2223</v>
      </c>
      <c r="N470" s="9" t="s">
        <v>2223</v>
      </c>
      <c r="O470" s="9" t="s">
        <v>113</v>
      </c>
      <c r="P470" s="9">
        <v>1</v>
      </c>
      <c r="Q470" s="9"/>
      <c r="R470" s="9"/>
      <c r="S470" s="9" t="s">
        <v>2224</v>
      </c>
    </row>
    <row r="471" spans="1:19">
      <c r="A471" s="9" t="s">
        <v>50</v>
      </c>
      <c r="B471" s="9" t="s">
        <v>2216</v>
      </c>
      <c r="C471" s="9" t="s">
        <v>51</v>
      </c>
      <c r="D471" s="9" t="s">
        <v>2638</v>
      </c>
      <c r="E471" s="9" t="s">
        <v>2639</v>
      </c>
      <c r="F471" s="9" t="s">
        <v>676</v>
      </c>
      <c r="G471" s="9" t="s">
        <v>2640</v>
      </c>
      <c r="H471" s="9" t="s">
        <v>2246</v>
      </c>
      <c r="I471" s="9">
        <v>2023</v>
      </c>
      <c r="J471" s="9" t="s">
        <v>158</v>
      </c>
      <c r="K471" s="9" t="s">
        <v>2641</v>
      </c>
      <c r="L471" s="9" t="s">
        <v>2642</v>
      </c>
      <c r="M471" s="9" t="s">
        <v>2223</v>
      </c>
      <c r="N471" s="9" t="s">
        <v>2223</v>
      </c>
      <c r="O471" s="9" t="s">
        <v>113</v>
      </c>
      <c r="P471" s="9">
        <v>1</v>
      </c>
      <c r="Q471" s="9"/>
      <c r="R471" s="9"/>
      <c r="S471" s="9" t="s">
        <v>2224</v>
      </c>
    </row>
    <row r="472" spans="1:19">
      <c r="A472" s="9" t="s">
        <v>50</v>
      </c>
      <c r="B472" s="9" t="s">
        <v>2216</v>
      </c>
      <c r="C472" s="9" t="s">
        <v>51</v>
      </c>
      <c r="D472" s="9" t="s">
        <v>2643</v>
      </c>
      <c r="E472" s="9" t="s">
        <v>2644</v>
      </c>
      <c r="F472" s="9" t="s">
        <v>2645</v>
      </c>
      <c r="G472" s="9" t="s">
        <v>2646</v>
      </c>
      <c r="H472" s="9" t="s">
        <v>2647</v>
      </c>
      <c r="I472" s="9">
        <v>2025</v>
      </c>
      <c r="J472" s="9" t="s">
        <v>158</v>
      </c>
      <c r="K472" s="9" t="s">
        <v>2648</v>
      </c>
      <c r="L472" s="9" t="s">
        <v>2649</v>
      </c>
      <c r="M472" s="9" t="s">
        <v>2223</v>
      </c>
      <c r="N472" s="9" t="s">
        <v>2223</v>
      </c>
      <c r="O472" s="9" t="s">
        <v>113</v>
      </c>
      <c r="P472" s="9">
        <v>1</v>
      </c>
      <c r="Q472" s="9"/>
      <c r="R472" s="9"/>
      <c r="S472" s="9" t="s">
        <v>2224</v>
      </c>
    </row>
    <row r="473" spans="1:19">
      <c r="A473" s="9" t="s">
        <v>50</v>
      </c>
      <c r="B473" s="9" t="s">
        <v>2216</v>
      </c>
      <c r="C473" s="9" t="s">
        <v>51</v>
      </c>
      <c r="D473" s="9" t="s">
        <v>2650</v>
      </c>
      <c r="E473" s="9" t="s">
        <v>2651</v>
      </c>
      <c r="F473" s="9" t="s">
        <v>2256</v>
      </c>
      <c r="G473" s="9" t="s">
        <v>2652</v>
      </c>
      <c r="H473" s="9" t="s">
        <v>1363</v>
      </c>
      <c r="I473" s="9">
        <v>2026</v>
      </c>
      <c r="J473" s="9" t="s">
        <v>158</v>
      </c>
      <c r="K473" s="9" t="s">
        <v>2653</v>
      </c>
      <c r="L473" s="9" t="s">
        <v>2654</v>
      </c>
      <c r="M473" s="9" t="s">
        <v>2223</v>
      </c>
      <c r="N473" s="9" t="s">
        <v>2223</v>
      </c>
      <c r="O473" s="9" t="s">
        <v>113</v>
      </c>
      <c r="P473" s="9">
        <v>1</v>
      </c>
      <c r="Q473" s="9"/>
      <c r="R473" s="9"/>
      <c r="S473" s="9" t="s">
        <v>2224</v>
      </c>
    </row>
    <row r="474" spans="1:19">
      <c r="A474" s="9" t="s">
        <v>50</v>
      </c>
      <c r="B474" s="9" t="s">
        <v>2216</v>
      </c>
      <c r="C474" s="9" t="s">
        <v>51</v>
      </c>
      <c r="D474" s="9" t="s">
        <v>2655</v>
      </c>
      <c r="E474" s="9" t="s">
        <v>2656</v>
      </c>
      <c r="F474" s="9" t="s">
        <v>2657</v>
      </c>
      <c r="G474" s="9" t="s">
        <v>2658</v>
      </c>
      <c r="H474" s="9" t="s">
        <v>1149</v>
      </c>
      <c r="I474" s="9">
        <v>2025</v>
      </c>
      <c r="J474" s="9" t="s">
        <v>158</v>
      </c>
      <c r="K474" s="9" t="s">
        <v>2659</v>
      </c>
      <c r="L474" s="9" t="s">
        <v>2660</v>
      </c>
      <c r="M474" s="9" t="s">
        <v>2223</v>
      </c>
      <c r="N474" s="9" t="s">
        <v>2223</v>
      </c>
      <c r="O474" s="9" t="s">
        <v>113</v>
      </c>
      <c r="P474" s="9">
        <v>1</v>
      </c>
      <c r="Q474" s="9"/>
      <c r="R474" s="9"/>
      <c r="S474" s="9" t="s">
        <v>2224</v>
      </c>
    </row>
    <row r="475" spans="1:19">
      <c r="A475" s="9" t="s">
        <v>50</v>
      </c>
      <c r="B475" s="9" t="s">
        <v>2216</v>
      </c>
      <c r="C475" s="9" t="s">
        <v>51</v>
      </c>
      <c r="D475" s="9" t="s">
        <v>2661</v>
      </c>
      <c r="E475" s="9" t="s">
        <v>2662</v>
      </c>
      <c r="F475" s="9" t="s">
        <v>1739</v>
      </c>
      <c r="G475" s="9" t="s">
        <v>2663</v>
      </c>
      <c r="H475" s="9" t="s">
        <v>2664</v>
      </c>
      <c r="I475" s="9">
        <v>2026</v>
      </c>
      <c r="J475" s="9" t="s">
        <v>2610</v>
      </c>
      <c r="K475" s="9" t="s">
        <v>2665</v>
      </c>
      <c r="L475" s="9" t="s">
        <v>2357</v>
      </c>
      <c r="M475" s="9" t="s">
        <v>2223</v>
      </c>
      <c r="N475" s="9" t="s">
        <v>2223</v>
      </c>
      <c r="O475" s="9" t="s">
        <v>113</v>
      </c>
      <c r="P475" s="9">
        <v>1</v>
      </c>
      <c r="Q475" s="9"/>
      <c r="R475" s="9"/>
      <c r="S475" s="9" t="s">
        <v>2224</v>
      </c>
    </row>
    <row r="476" spans="1:19">
      <c r="A476" s="9" t="s">
        <v>50</v>
      </c>
      <c r="B476" s="9" t="s">
        <v>2216</v>
      </c>
      <c r="C476" s="9" t="s">
        <v>51</v>
      </c>
      <c r="D476" s="9" t="s">
        <v>2666</v>
      </c>
      <c r="E476" s="9" t="s">
        <v>2667</v>
      </c>
      <c r="F476" s="9" t="s">
        <v>2391</v>
      </c>
      <c r="G476" s="9" t="s">
        <v>2668</v>
      </c>
      <c r="H476" s="9" t="s">
        <v>1363</v>
      </c>
      <c r="I476" s="9">
        <v>2026</v>
      </c>
      <c r="J476" s="9" t="s">
        <v>158</v>
      </c>
      <c r="K476" s="9" t="s">
        <v>2669</v>
      </c>
      <c r="L476" s="9" t="s">
        <v>2670</v>
      </c>
      <c r="M476" s="9" t="s">
        <v>2223</v>
      </c>
      <c r="N476" s="9" t="s">
        <v>2223</v>
      </c>
      <c r="O476" s="9" t="s">
        <v>113</v>
      </c>
      <c r="P476" s="9">
        <v>1</v>
      </c>
      <c r="Q476" s="9"/>
      <c r="R476" s="9"/>
      <c r="S476" s="9" t="s">
        <v>2224</v>
      </c>
    </row>
    <row r="477" spans="1:19">
      <c r="A477" s="9" t="s">
        <v>50</v>
      </c>
      <c r="B477" s="9" t="s">
        <v>2216</v>
      </c>
      <c r="C477" s="9" t="s">
        <v>51</v>
      </c>
      <c r="D477" s="9" t="s">
        <v>2671</v>
      </c>
      <c r="E477" s="9" t="s">
        <v>2672</v>
      </c>
      <c r="F477" s="9" t="s">
        <v>2256</v>
      </c>
      <c r="G477" s="9" t="s">
        <v>2673</v>
      </c>
      <c r="H477" s="9" t="s">
        <v>1363</v>
      </c>
      <c r="I477" s="9">
        <v>2026</v>
      </c>
      <c r="J477" s="9" t="s">
        <v>158</v>
      </c>
      <c r="K477" s="9" t="s">
        <v>2674</v>
      </c>
      <c r="L477" s="9" t="s">
        <v>2675</v>
      </c>
      <c r="M477" s="9" t="s">
        <v>2274</v>
      </c>
      <c r="N477" s="9" t="s">
        <v>2274</v>
      </c>
      <c r="O477" s="9" t="s">
        <v>113</v>
      </c>
      <c r="P477" s="9">
        <v>1</v>
      </c>
      <c r="Q477" s="9"/>
      <c r="R477" s="9"/>
      <c r="S477" s="9" t="s">
        <v>2224</v>
      </c>
    </row>
    <row r="478" spans="1:19">
      <c r="A478" s="9" t="s">
        <v>52</v>
      </c>
      <c r="B478" s="9" t="s">
        <v>2676</v>
      </c>
      <c r="C478" s="9" t="s">
        <v>53</v>
      </c>
      <c r="D478" s="9" t="s">
        <v>2677</v>
      </c>
      <c r="E478" s="9" t="s">
        <v>2678</v>
      </c>
      <c r="F478" s="9" t="s">
        <v>472</v>
      </c>
      <c r="G478" s="9" t="s">
        <v>2678</v>
      </c>
      <c r="H478" s="9" t="s">
        <v>401</v>
      </c>
      <c r="I478" s="9">
        <v>2022</v>
      </c>
      <c r="J478" s="9" t="s">
        <v>130</v>
      </c>
      <c r="K478" s="9" t="s">
        <v>2679</v>
      </c>
      <c r="L478" s="9" t="s">
        <v>2680</v>
      </c>
      <c r="M478" s="9" t="s">
        <v>2681</v>
      </c>
      <c r="N478" s="9" t="s">
        <v>2681</v>
      </c>
      <c r="O478" s="9" t="s">
        <v>113</v>
      </c>
      <c r="P478" s="9">
        <v>1</v>
      </c>
      <c r="Q478" s="9"/>
      <c r="R478" s="9"/>
      <c r="S478" s="9" t="s">
        <v>2682</v>
      </c>
    </row>
    <row r="479" spans="1:19">
      <c r="A479" s="9" t="s">
        <v>52</v>
      </c>
      <c r="B479" s="9" t="s">
        <v>2676</v>
      </c>
      <c r="C479" s="9" t="s">
        <v>53</v>
      </c>
      <c r="D479" s="9" t="s">
        <v>2683</v>
      </c>
      <c r="E479" s="9" t="s">
        <v>2684</v>
      </c>
      <c r="F479" s="9" t="s">
        <v>580</v>
      </c>
      <c r="G479" s="9" t="s">
        <v>2684</v>
      </c>
      <c r="H479" s="9" t="s">
        <v>570</v>
      </c>
      <c r="I479" s="9">
        <v>2023</v>
      </c>
      <c r="J479" s="9" t="s">
        <v>130</v>
      </c>
      <c r="K479" s="9" t="s">
        <v>2685</v>
      </c>
      <c r="L479" s="9" t="s">
        <v>2686</v>
      </c>
      <c r="M479" s="9" t="s">
        <v>2681</v>
      </c>
      <c r="N479" s="9" t="s">
        <v>2681</v>
      </c>
      <c r="O479" s="9" t="s">
        <v>113</v>
      </c>
      <c r="P479" s="9">
        <v>1</v>
      </c>
      <c r="Q479" s="9"/>
      <c r="R479" s="9"/>
      <c r="S479" s="9" t="s">
        <v>2682</v>
      </c>
    </row>
    <row r="480" spans="1:19">
      <c r="A480" s="9" t="s">
        <v>52</v>
      </c>
      <c r="B480" s="9" t="s">
        <v>2676</v>
      </c>
      <c r="C480" s="9" t="s">
        <v>53</v>
      </c>
      <c r="D480" s="9" t="s">
        <v>2687</v>
      </c>
      <c r="E480" s="9" t="s">
        <v>2688</v>
      </c>
      <c r="F480" s="9" t="s">
        <v>359</v>
      </c>
      <c r="G480" s="9" t="s">
        <v>2688</v>
      </c>
      <c r="H480" s="9" t="s">
        <v>2689</v>
      </c>
      <c r="I480" s="9">
        <v>2022</v>
      </c>
      <c r="J480" s="9" t="s">
        <v>130</v>
      </c>
      <c r="K480" s="9" t="s">
        <v>2690</v>
      </c>
      <c r="L480" s="9" t="s">
        <v>516</v>
      </c>
      <c r="M480" s="9" t="s">
        <v>2691</v>
      </c>
      <c r="N480" s="9" t="s">
        <v>2691</v>
      </c>
      <c r="O480" s="9" t="s">
        <v>113</v>
      </c>
      <c r="P480" s="9">
        <v>1</v>
      </c>
      <c r="Q480" s="9"/>
      <c r="R480" s="9"/>
      <c r="S480" s="9" t="s">
        <v>2682</v>
      </c>
    </row>
    <row r="481" spans="1:19">
      <c r="A481" s="9" t="s">
        <v>52</v>
      </c>
      <c r="B481" s="9" t="s">
        <v>2676</v>
      </c>
      <c r="C481" s="9" t="s">
        <v>53</v>
      </c>
      <c r="D481" s="9" t="s">
        <v>2692</v>
      </c>
      <c r="E481" s="9" t="s">
        <v>2693</v>
      </c>
      <c r="F481" s="9" t="s">
        <v>2694</v>
      </c>
      <c r="G481" s="9" t="s">
        <v>2693</v>
      </c>
      <c r="H481" s="9" t="s">
        <v>503</v>
      </c>
      <c r="I481" s="9">
        <v>2023</v>
      </c>
      <c r="J481" s="9" t="s">
        <v>130</v>
      </c>
      <c r="K481" s="9" t="s">
        <v>2695</v>
      </c>
      <c r="L481" s="9" t="s">
        <v>2696</v>
      </c>
      <c r="M481" s="9" t="s">
        <v>2681</v>
      </c>
      <c r="N481" s="9" t="s">
        <v>2681</v>
      </c>
      <c r="O481" s="9" t="s">
        <v>113</v>
      </c>
      <c r="P481" s="9">
        <v>1</v>
      </c>
      <c r="Q481" s="9"/>
      <c r="R481" s="9"/>
      <c r="S481" s="9" t="s">
        <v>2682</v>
      </c>
    </row>
    <row r="482" spans="1:19">
      <c r="A482" s="9" t="s">
        <v>52</v>
      </c>
      <c r="B482" s="9" t="s">
        <v>2676</v>
      </c>
      <c r="C482" s="9" t="s">
        <v>53</v>
      </c>
      <c r="D482" s="9" t="s">
        <v>2697</v>
      </c>
      <c r="E482" s="9" t="s">
        <v>2698</v>
      </c>
      <c r="F482" s="9" t="s">
        <v>2699</v>
      </c>
      <c r="G482" s="9" t="s">
        <v>2698</v>
      </c>
      <c r="H482" s="9" t="s">
        <v>215</v>
      </c>
      <c r="I482" s="9">
        <v>2022</v>
      </c>
      <c r="J482" s="9" t="s">
        <v>130</v>
      </c>
      <c r="K482" s="9" t="s">
        <v>2700</v>
      </c>
      <c r="L482" s="9" t="s">
        <v>2701</v>
      </c>
      <c r="M482" s="9" t="s">
        <v>2691</v>
      </c>
      <c r="N482" s="9" t="s">
        <v>2691</v>
      </c>
      <c r="O482" s="9" t="s">
        <v>113</v>
      </c>
      <c r="P482" s="9">
        <v>1</v>
      </c>
      <c r="Q482" s="9"/>
      <c r="R482" s="9"/>
      <c r="S482" s="9" t="s">
        <v>2682</v>
      </c>
    </row>
    <row r="483" spans="1:19">
      <c r="A483" s="9" t="s">
        <v>52</v>
      </c>
      <c r="B483" s="9" t="s">
        <v>2676</v>
      </c>
      <c r="C483" s="9" t="s">
        <v>53</v>
      </c>
      <c r="D483" s="9" t="s">
        <v>2702</v>
      </c>
      <c r="E483" s="9" t="s">
        <v>2703</v>
      </c>
      <c r="F483" s="9" t="s">
        <v>2704</v>
      </c>
      <c r="G483" s="9" t="s">
        <v>2703</v>
      </c>
      <c r="H483" s="9" t="s">
        <v>2705</v>
      </c>
      <c r="I483" s="9">
        <v>2022</v>
      </c>
      <c r="J483" s="9" t="s">
        <v>130</v>
      </c>
      <c r="K483" s="9" t="s">
        <v>2706</v>
      </c>
      <c r="L483" s="9" t="s">
        <v>2707</v>
      </c>
      <c r="M483" s="9" t="s">
        <v>2691</v>
      </c>
      <c r="N483" s="9" t="s">
        <v>2691</v>
      </c>
      <c r="O483" s="9" t="s">
        <v>113</v>
      </c>
      <c r="P483" s="9">
        <v>1</v>
      </c>
      <c r="Q483" s="9"/>
      <c r="R483" s="9"/>
      <c r="S483" s="9" t="s">
        <v>2682</v>
      </c>
    </row>
    <row r="484" spans="1:19">
      <c r="A484" s="9" t="s">
        <v>52</v>
      </c>
      <c r="B484" s="9" t="s">
        <v>2676</v>
      </c>
      <c r="C484" s="9" t="s">
        <v>53</v>
      </c>
      <c r="D484" s="9" t="s">
        <v>2708</v>
      </c>
      <c r="E484" s="9" t="s">
        <v>2709</v>
      </c>
      <c r="F484" s="9" t="s">
        <v>631</v>
      </c>
      <c r="G484" s="9" t="s">
        <v>2709</v>
      </c>
      <c r="H484" s="9" t="s">
        <v>687</v>
      </c>
      <c r="I484" s="9">
        <v>2023</v>
      </c>
      <c r="J484" s="9" t="s">
        <v>130</v>
      </c>
      <c r="K484" s="9" t="s">
        <v>2710</v>
      </c>
      <c r="L484" s="9" t="s">
        <v>252</v>
      </c>
      <c r="M484" s="9" t="s">
        <v>2681</v>
      </c>
      <c r="N484" s="9" t="s">
        <v>2681</v>
      </c>
      <c r="O484" s="9" t="s">
        <v>113</v>
      </c>
      <c r="P484" s="9">
        <v>1</v>
      </c>
      <c r="Q484" s="9"/>
      <c r="R484" s="9"/>
      <c r="S484" s="9" t="s">
        <v>2682</v>
      </c>
    </row>
    <row r="485" spans="1:19">
      <c r="A485" s="9" t="s">
        <v>52</v>
      </c>
      <c r="B485" s="9" t="s">
        <v>2676</v>
      </c>
      <c r="C485" s="9" t="s">
        <v>53</v>
      </c>
      <c r="D485" s="9" t="s">
        <v>2711</v>
      </c>
      <c r="E485" s="9" t="s">
        <v>2712</v>
      </c>
      <c r="F485" s="9" t="s">
        <v>767</v>
      </c>
      <c r="G485" s="9" t="s">
        <v>2713</v>
      </c>
      <c r="H485" s="9" t="s">
        <v>2714</v>
      </c>
      <c r="I485" s="9">
        <v>2024</v>
      </c>
      <c r="J485" s="9" t="s">
        <v>158</v>
      </c>
      <c r="K485" s="9" t="s">
        <v>2715</v>
      </c>
      <c r="L485" s="9" t="s">
        <v>2716</v>
      </c>
      <c r="M485" s="9" t="s">
        <v>2691</v>
      </c>
      <c r="N485" s="9" t="s">
        <v>2691</v>
      </c>
      <c r="O485" s="9" t="s">
        <v>113</v>
      </c>
      <c r="P485" s="9">
        <v>1</v>
      </c>
      <c r="Q485" s="9"/>
      <c r="R485" s="9"/>
      <c r="S485" s="9" t="s">
        <v>2682</v>
      </c>
    </row>
    <row r="486" spans="1:19">
      <c r="A486" s="9" t="s">
        <v>52</v>
      </c>
      <c r="B486" s="9" t="s">
        <v>2676</v>
      </c>
      <c r="C486" s="9" t="s">
        <v>53</v>
      </c>
      <c r="D486" s="9" t="s">
        <v>2717</v>
      </c>
      <c r="E486" s="9" t="s">
        <v>2718</v>
      </c>
      <c r="F486" s="9" t="s">
        <v>2719</v>
      </c>
      <c r="G486" s="9" t="s">
        <v>2718</v>
      </c>
      <c r="H486" s="9" t="s">
        <v>2720</v>
      </c>
      <c r="I486" s="9">
        <v>2020</v>
      </c>
      <c r="J486" s="9" t="s">
        <v>130</v>
      </c>
      <c r="K486" s="9" t="s">
        <v>2721</v>
      </c>
      <c r="L486" s="9" t="s">
        <v>2722</v>
      </c>
      <c r="M486" s="9" t="s">
        <v>2723</v>
      </c>
      <c r="N486" s="9" t="s">
        <v>2723</v>
      </c>
      <c r="O486" s="9" t="s">
        <v>113</v>
      </c>
      <c r="P486" s="9">
        <v>1</v>
      </c>
      <c r="Q486" s="9"/>
      <c r="R486" s="9"/>
      <c r="S486" s="9" t="s">
        <v>2682</v>
      </c>
    </row>
    <row r="487" spans="1:19">
      <c r="A487" s="9" t="s">
        <v>52</v>
      </c>
      <c r="B487" s="9" t="s">
        <v>2676</v>
      </c>
      <c r="C487" s="9" t="s">
        <v>53</v>
      </c>
      <c r="D487" s="9" t="s">
        <v>2724</v>
      </c>
      <c r="E487" s="9" t="s">
        <v>2725</v>
      </c>
      <c r="F487" s="9" t="s">
        <v>2699</v>
      </c>
      <c r="G487" s="9" t="s">
        <v>2725</v>
      </c>
      <c r="H487" s="9" t="s">
        <v>215</v>
      </c>
      <c r="I487" s="9">
        <v>2022</v>
      </c>
      <c r="J487" s="9" t="s">
        <v>130</v>
      </c>
      <c r="K487" s="9" t="s">
        <v>2726</v>
      </c>
      <c r="L487" s="9" t="s">
        <v>2727</v>
      </c>
      <c r="M487" s="9" t="s">
        <v>2691</v>
      </c>
      <c r="N487" s="9" t="s">
        <v>2691</v>
      </c>
      <c r="O487" s="9" t="s">
        <v>113</v>
      </c>
      <c r="P487" s="9">
        <v>1</v>
      </c>
      <c r="Q487" s="9"/>
      <c r="R487" s="9"/>
      <c r="S487" s="9" t="s">
        <v>2682</v>
      </c>
    </row>
    <row r="488" spans="1:19">
      <c r="A488" s="9" t="s">
        <v>52</v>
      </c>
      <c r="B488" s="9" t="s">
        <v>2676</v>
      </c>
      <c r="C488" s="9" t="s">
        <v>53</v>
      </c>
      <c r="D488" s="9" t="s">
        <v>2728</v>
      </c>
      <c r="E488" s="9" t="s">
        <v>2729</v>
      </c>
      <c r="F488" s="9" t="s">
        <v>2730</v>
      </c>
      <c r="G488" s="9" t="s">
        <v>2729</v>
      </c>
      <c r="H488" s="9" t="s">
        <v>2731</v>
      </c>
      <c r="I488" s="9">
        <v>2021</v>
      </c>
      <c r="J488" s="9" t="s">
        <v>130</v>
      </c>
      <c r="K488" s="9" t="s">
        <v>2691</v>
      </c>
      <c r="L488" s="9" t="s">
        <v>2732</v>
      </c>
      <c r="M488" s="9" t="s">
        <v>2691</v>
      </c>
      <c r="N488" s="9" t="s">
        <v>2691</v>
      </c>
      <c r="O488" s="9" t="s">
        <v>113</v>
      </c>
      <c r="P488" s="9">
        <v>1</v>
      </c>
      <c r="Q488" s="9"/>
      <c r="R488" s="9"/>
      <c r="S488" s="9" t="s">
        <v>2682</v>
      </c>
    </row>
    <row r="489" spans="1:19">
      <c r="A489" s="9" t="s">
        <v>52</v>
      </c>
      <c r="B489" s="9" t="s">
        <v>2676</v>
      </c>
      <c r="C489" s="9" t="s">
        <v>53</v>
      </c>
      <c r="D489" s="9" t="s">
        <v>2733</v>
      </c>
      <c r="E489" s="9" t="s">
        <v>2734</v>
      </c>
      <c r="F489" s="9" t="s">
        <v>2704</v>
      </c>
      <c r="G489" s="9" t="s">
        <v>2734</v>
      </c>
      <c r="H489" s="9" t="s">
        <v>2705</v>
      </c>
      <c r="I489" s="9">
        <v>2022</v>
      </c>
      <c r="J489" s="9" t="s">
        <v>130</v>
      </c>
      <c r="K489" s="9" t="s">
        <v>2735</v>
      </c>
      <c r="L489" s="9" t="s">
        <v>2736</v>
      </c>
      <c r="M489" s="9" t="s">
        <v>2691</v>
      </c>
      <c r="N489" s="9" t="s">
        <v>2691</v>
      </c>
      <c r="O489" s="9" t="s">
        <v>113</v>
      </c>
      <c r="P489" s="9">
        <v>1</v>
      </c>
      <c r="Q489" s="9"/>
      <c r="R489" s="9"/>
      <c r="S489" s="9" t="s">
        <v>2682</v>
      </c>
    </row>
    <row r="490" spans="1:19">
      <c r="A490" s="9" t="s">
        <v>52</v>
      </c>
      <c r="B490" s="9" t="s">
        <v>2676</v>
      </c>
      <c r="C490" s="9" t="s">
        <v>53</v>
      </c>
      <c r="D490" s="9" t="s">
        <v>2737</v>
      </c>
      <c r="E490" s="9" t="s">
        <v>2738</v>
      </c>
      <c r="F490" s="9" t="s">
        <v>2739</v>
      </c>
      <c r="G490" s="9" t="s">
        <v>2738</v>
      </c>
      <c r="H490" s="9" t="s">
        <v>1810</v>
      </c>
      <c r="I490" s="9">
        <v>2022</v>
      </c>
      <c r="J490" s="9" t="s">
        <v>130</v>
      </c>
      <c r="K490" s="9" t="s">
        <v>2740</v>
      </c>
      <c r="L490" s="9" t="s">
        <v>2741</v>
      </c>
      <c r="M490" s="9" t="s">
        <v>2691</v>
      </c>
      <c r="N490" s="9" t="s">
        <v>2691</v>
      </c>
      <c r="O490" s="9" t="s">
        <v>113</v>
      </c>
      <c r="P490" s="9">
        <v>1</v>
      </c>
      <c r="Q490" s="9"/>
      <c r="R490" s="9"/>
      <c r="S490" s="9" t="s">
        <v>2682</v>
      </c>
    </row>
    <row r="491" spans="1:19">
      <c r="A491" s="9" t="s">
        <v>52</v>
      </c>
      <c r="B491" s="9" t="s">
        <v>2676</v>
      </c>
      <c r="C491" s="9" t="s">
        <v>53</v>
      </c>
      <c r="D491" s="9" t="s">
        <v>2742</v>
      </c>
      <c r="E491" s="9" t="s">
        <v>2743</v>
      </c>
      <c r="F491" s="9" t="s">
        <v>2335</v>
      </c>
      <c r="G491" s="9" t="s">
        <v>2743</v>
      </c>
      <c r="H491" s="9" t="s">
        <v>958</v>
      </c>
      <c r="I491" s="9">
        <v>2024</v>
      </c>
      <c r="J491" s="9" t="s">
        <v>130</v>
      </c>
      <c r="K491" s="9" t="s">
        <v>2744</v>
      </c>
      <c r="L491" s="9" t="s">
        <v>2745</v>
      </c>
      <c r="M491" s="9" t="s">
        <v>2681</v>
      </c>
      <c r="N491" s="9" t="s">
        <v>2681</v>
      </c>
      <c r="O491" s="9" t="s">
        <v>113</v>
      </c>
      <c r="P491" s="9">
        <v>1</v>
      </c>
      <c r="Q491" s="9"/>
      <c r="R491" s="9"/>
      <c r="S491" s="9" t="s">
        <v>2682</v>
      </c>
    </row>
    <row r="492" spans="1:19">
      <c r="A492" s="9" t="s">
        <v>52</v>
      </c>
      <c r="B492" s="9" t="s">
        <v>2676</v>
      </c>
      <c r="C492" s="9" t="s">
        <v>53</v>
      </c>
      <c r="D492" s="9" t="s">
        <v>2746</v>
      </c>
      <c r="E492" s="9" t="s">
        <v>2747</v>
      </c>
      <c r="F492" s="9" t="s">
        <v>1894</v>
      </c>
      <c r="G492" s="9" t="s">
        <v>2747</v>
      </c>
      <c r="H492" s="9" t="s">
        <v>2748</v>
      </c>
      <c r="I492" s="9">
        <v>2020</v>
      </c>
      <c r="J492" s="9" t="s">
        <v>130</v>
      </c>
      <c r="K492" s="9" t="s">
        <v>2749</v>
      </c>
      <c r="L492" s="9" t="s">
        <v>2750</v>
      </c>
      <c r="M492" s="9" t="s">
        <v>2723</v>
      </c>
      <c r="N492" s="9" t="s">
        <v>2723</v>
      </c>
      <c r="O492" s="9" t="s">
        <v>113</v>
      </c>
      <c r="P492" s="9">
        <v>1</v>
      </c>
      <c r="Q492" s="9"/>
      <c r="R492" s="9"/>
      <c r="S492" s="9" t="s">
        <v>2682</v>
      </c>
    </row>
    <row r="493" spans="1:19">
      <c r="A493" s="9" t="s">
        <v>52</v>
      </c>
      <c r="B493" s="9" t="s">
        <v>2676</v>
      </c>
      <c r="C493" s="9" t="s">
        <v>53</v>
      </c>
      <c r="D493" s="9" t="s">
        <v>2751</v>
      </c>
      <c r="E493" s="9" t="s">
        <v>2752</v>
      </c>
      <c r="F493" s="9" t="s">
        <v>2739</v>
      </c>
      <c r="G493" s="9" t="s">
        <v>2752</v>
      </c>
      <c r="H493" s="9" t="s">
        <v>1810</v>
      </c>
      <c r="I493" s="9">
        <v>2022</v>
      </c>
      <c r="J493" s="9" t="s">
        <v>130</v>
      </c>
      <c r="K493" s="9" t="s">
        <v>2753</v>
      </c>
      <c r="L493" s="9" t="s">
        <v>2754</v>
      </c>
      <c r="M493" s="9" t="s">
        <v>2691</v>
      </c>
      <c r="N493" s="9" t="s">
        <v>2691</v>
      </c>
      <c r="O493" s="9" t="s">
        <v>113</v>
      </c>
      <c r="P493" s="9">
        <v>1</v>
      </c>
      <c r="Q493" s="9"/>
      <c r="R493" s="9"/>
      <c r="S493" s="9" t="s">
        <v>2682</v>
      </c>
    </row>
    <row r="494" spans="1:19">
      <c r="A494" s="9" t="s">
        <v>52</v>
      </c>
      <c r="B494" s="9" t="s">
        <v>2676</v>
      </c>
      <c r="C494" s="9" t="s">
        <v>53</v>
      </c>
      <c r="D494" s="9" t="s">
        <v>2755</v>
      </c>
      <c r="E494" s="9" t="s">
        <v>2756</v>
      </c>
      <c r="F494" s="9" t="s">
        <v>2757</v>
      </c>
      <c r="G494" s="9" t="s">
        <v>2758</v>
      </c>
      <c r="H494" s="9" t="s">
        <v>2759</v>
      </c>
      <c r="I494" s="9">
        <v>2020</v>
      </c>
      <c r="J494" s="9" t="s">
        <v>158</v>
      </c>
      <c r="K494" s="9" t="s">
        <v>2760</v>
      </c>
      <c r="L494" s="9" t="s">
        <v>2761</v>
      </c>
      <c r="M494" s="9" t="s">
        <v>2762</v>
      </c>
      <c r="N494" s="9" t="s">
        <v>2762</v>
      </c>
      <c r="O494" s="9" t="s">
        <v>113</v>
      </c>
      <c r="P494" s="9">
        <v>1</v>
      </c>
      <c r="Q494" s="9"/>
      <c r="R494" s="9"/>
      <c r="S494" s="9" t="s">
        <v>2682</v>
      </c>
    </row>
    <row r="495" spans="1:19">
      <c r="A495" s="9" t="s">
        <v>52</v>
      </c>
      <c r="B495" s="9" t="s">
        <v>2676</v>
      </c>
      <c r="C495" s="9" t="s">
        <v>53</v>
      </c>
      <c r="D495" s="9" t="s">
        <v>2763</v>
      </c>
      <c r="E495" s="9" t="s">
        <v>2764</v>
      </c>
      <c r="F495" s="9" t="s">
        <v>2765</v>
      </c>
      <c r="G495" s="9" t="s">
        <v>2764</v>
      </c>
      <c r="H495" s="9" t="s">
        <v>1828</v>
      </c>
      <c r="I495" s="9">
        <v>2020</v>
      </c>
      <c r="J495" s="9" t="s">
        <v>130</v>
      </c>
      <c r="K495" s="9" t="s">
        <v>2766</v>
      </c>
      <c r="L495" s="9" t="s">
        <v>2767</v>
      </c>
      <c r="M495" s="9" t="s">
        <v>2768</v>
      </c>
      <c r="N495" s="9" t="s">
        <v>2768</v>
      </c>
      <c r="O495" s="9" t="s">
        <v>113</v>
      </c>
      <c r="P495" s="9">
        <v>1</v>
      </c>
      <c r="Q495" s="9"/>
      <c r="R495" s="9"/>
      <c r="S495" s="9" t="s">
        <v>2682</v>
      </c>
    </row>
    <row r="496" spans="1:19">
      <c r="A496" s="9" t="s">
        <v>52</v>
      </c>
      <c r="B496" s="9" t="s">
        <v>2676</v>
      </c>
      <c r="C496" s="9" t="s">
        <v>53</v>
      </c>
      <c r="D496" s="9" t="s">
        <v>2769</v>
      </c>
      <c r="E496" s="9" t="s">
        <v>2770</v>
      </c>
      <c r="F496" s="9" t="s">
        <v>2771</v>
      </c>
      <c r="G496" s="9" t="s">
        <v>2770</v>
      </c>
      <c r="H496" s="9" t="s">
        <v>2772</v>
      </c>
      <c r="I496" s="9">
        <v>2022</v>
      </c>
      <c r="J496" s="9" t="s">
        <v>130</v>
      </c>
      <c r="K496" s="9" t="s">
        <v>2773</v>
      </c>
      <c r="L496" s="9" t="s">
        <v>2774</v>
      </c>
      <c r="M496" s="9" t="s">
        <v>2691</v>
      </c>
      <c r="N496" s="9" t="s">
        <v>2691</v>
      </c>
      <c r="O496" s="9" t="s">
        <v>113</v>
      </c>
      <c r="P496" s="9">
        <v>1</v>
      </c>
      <c r="Q496" s="9"/>
      <c r="R496" s="9"/>
      <c r="S496" s="9" t="s">
        <v>2682</v>
      </c>
    </row>
    <row r="497" spans="1:19">
      <c r="A497" s="9" t="s">
        <v>52</v>
      </c>
      <c r="B497" s="9" t="s">
        <v>2676</v>
      </c>
      <c r="C497" s="9" t="s">
        <v>53</v>
      </c>
      <c r="D497" s="9" t="s">
        <v>2775</v>
      </c>
      <c r="E497" s="9" t="s">
        <v>2776</v>
      </c>
      <c r="F497" s="9" t="s">
        <v>359</v>
      </c>
      <c r="G497" s="9" t="s">
        <v>2776</v>
      </c>
      <c r="H497" s="9" t="s">
        <v>2689</v>
      </c>
      <c r="I497" s="9">
        <v>2022</v>
      </c>
      <c r="J497" s="9" t="s">
        <v>130</v>
      </c>
      <c r="K497" s="9" t="s">
        <v>2777</v>
      </c>
      <c r="L497" s="9" t="s">
        <v>2754</v>
      </c>
      <c r="M497" s="9" t="s">
        <v>2691</v>
      </c>
      <c r="N497" s="9" t="s">
        <v>2691</v>
      </c>
      <c r="O497" s="9" t="s">
        <v>113</v>
      </c>
      <c r="P497" s="9">
        <v>1</v>
      </c>
      <c r="Q497" s="9"/>
      <c r="R497" s="9"/>
      <c r="S497" s="9" t="s">
        <v>2682</v>
      </c>
    </row>
    <row r="498" spans="1:19">
      <c r="A498" s="9" t="s">
        <v>52</v>
      </c>
      <c r="B498" s="9" t="s">
        <v>2676</v>
      </c>
      <c r="C498" s="9" t="s">
        <v>53</v>
      </c>
      <c r="D498" s="9" t="s">
        <v>2778</v>
      </c>
      <c r="E498" s="9" t="s">
        <v>2779</v>
      </c>
      <c r="F498" s="9" t="s">
        <v>548</v>
      </c>
      <c r="G498" s="9" t="s">
        <v>2779</v>
      </c>
      <c r="H498" s="9" t="s">
        <v>529</v>
      </c>
      <c r="I498" s="9">
        <v>2023</v>
      </c>
      <c r="J498" s="9" t="s">
        <v>130</v>
      </c>
      <c r="K498" s="9" t="s">
        <v>2780</v>
      </c>
      <c r="L498" s="9" t="s">
        <v>2781</v>
      </c>
      <c r="M498" s="9" t="s">
        <v>2681</v>
      </c>
      <c r="N498" s="9" t="s">
        <v>2681</v>
      </c>
      <c r="O498" s="9" t="s">
        <v>113</v>
      </c>
      <c r="P498" s="9">
        <v>1</v>
      </c>
      <c r="Q498" s="9"/>
      <c r="R498" s="9"/>
      <c r="S498" s="9" t="s">
        <v>2682</v>
      </c>
    </row>
    <row r="499" spans="1:19">
      <c r="A499" s="9" t="s">
        <v>52</v>
      </c>
      <c r="B499" s="9" t="s">
        <v>2676</v>
      </c>
      <c r="C499" s="9" t="s">
        <v>53</v>
      </c>
      <c r="D499" s="9" t="s">
        <v>2782</v>
      </c>
      <c r="E499" s="9" t="s">
        <v>2783</v>
      </c>
      <c r="F499" s="9" t="s">
        <v>2784</v>
      </c>
      <c r="G499" s="9" t="s">
        <v>2783</v>
      </c>
      <c r="H499" s="9" t="s">
        <v>1857</v>
      </c>
      <c r="I499" s="9">
        <v>2019</v>
      </c>
      <c r="J499" s="9" t="s">
        <v>130</v>
      </c>
      <c r="K499" s="9" t="s">
        <v>2785</v>
      </c>
      <c r="L499" s="9" t="s">
        <v>2786</v>
      </c>
      <c r="M499" s="9" t="s">
        <v>2787</v>
      </c>
      <c r="N499" s="9" t="s">
        <v>2787</v>
      </c>
      <c r="O499" s="9" t="s">
        <v>113</v>
      </c>
      <c r="P499" s="9">
        <v>1</v>
      </c>
      <c r="Q499" s="9"/>
      <c r="R499" s="9"/>
      <c r="S499" s="9" t="s">
        <v>2682</v>
      </c>
    </row>
    <row r="500" spans="1:19">
      <c r="A500" s="9" t="s">
        <v>52</v>
      </c>
      <c r="B500" s="9" t="s">
        <v>2676</v>
      </c>
      <c r="C500" s="9" t="s">
        <v>53</v>
      </c>
      <c r="D500" s="9" t="s">
        <v>2788</v>
      </c>
      <c r="E500" s="9" t="s">
        <v>2789</v>
      </c>
      <c r="F500" s="9" t="s">
        <v>359</v>
      </c>
      <c r="G500" s="9" t="s">
        <v>2789</v>
      </c>
      <c r="H500" s="9" t="s">
        <v>2689</v>
      </c>
      <c r="I500" s="9">
        <v>2022</v>
      </c>
      <c r="J500" s="9" t="s">
        <v>130</v>
      </c>
      <c r="K500" s="9" t="s">
        <v>2715</v>
      </c>
      <c r="L500" s="9" t="s">
        <v>2790</v>
      </c>
      <c r="M500" s="9" t="s">
        <v>2691</v>
      </c>
      <c r="N500" s="9" t="s">
        <v>2691</v>
      </c>
      <c r="O500" s="9" t="s">
        <v>113</v>
      </c>
      <c r="P500" s="9">
        <v>1</v>
      </c>
      <c r="Q500" s="9"/>
      <c r="R500" s="9"/>
      <c r="S500" s="9" t="s">
        <v>2682</v>
      </c>
    </row>
    <row r="501" spans="1:19">
      <c r="A501" s="9" t="s">
        <v>52</v>
      </c>
      <c r="B501" s="9" t="s">
        <v>2676</v>
      </c>
      <c r="C501" s="9" t="s">
        <v>53</v>
      </c>
      <c r="D501" s="9" t="s">
        <v>2791</v>
      </c>
      <c r="E501" s="9" t="s">
        <v>2792</v>
      </c>
      <c r="F501" s="9" t="s">
        <v>2793</v>
      </c>
      <c r="G501" s="9" t="s">
        <v>2794</v>
      </c>
      <c r="H501" s="9" t="s">
        <v>2795</v>
      </c>
      <c r="I501" s="9">
        <v>2018</v>
      </c>
      <c r="J501" s="9" t="s">
        <v>158</v>
      </c>
      <c r="K501" s="9" t="s">
        <v>2796</v>
      </c>
      <c r="L501" s="9" t="s">
        <v>2797</v>
      </c>
      <c r="M501" s="9" t="s">
        <v>2691</v>
      </c>
      <c r="N501" s="9" t="s">
        <v>2691</v>
      </c>
      <c r="O501" s="9" t="s">
        <v>113</v>
      </c>
      <c r="P501" s="9">
        <v>1</v>
      </c>
      <c r="Q501" s="9"/>
      <c r="R501" s="9"/>
      <c r="S501" s="9" t="s">
        <v>2682</v>
      </c>
    </row>
    <row r="502" spans="1:19">
      <c r="A502" s="9" t="s">
        <v>52</v>
      </c>
      <c r="B502" s="9" t="s">
        <v>2676</v>
      </c>
      <c r="C502" s="9" t="s">
        <v>53</v>
      </c>
      <c r="D502" s="9" t="s">
        <v>2798</v>
      </c>
      <c r="E502" s="9" t="s">
        <v>2799</v>
      </c>
      <c r="F502" s="9" t="s">
        <v>740</v>
      </c>
      <c r="G502" s="9" t="s">
        <v>2800</v>
      </c>
      <c r="H502" s="9" t="s">
        <v>921</v>
      </c>
      <c r="I502" s="9">
        <v>2023</v>
      </c>
      <c r="J502" s="9" t="s">
        <v>158</v>
      </c>
      <c r="K502" s="9" t="s">
        <v>2735</v>
      </c>
      <c r="L502" s="9" t="s">
        <v>2801</v>
      </c>
      <c r="M502" s="9" t="s">
        <v>2691</v>
      </c>
      <c r="N502" s="9" t="s">
        <v>2691</v>
      </c>
      <c r="O502" s="9" t="s">
        <v>113</v>
      </c>
      <c r="P502" s="9">
        <v>1</v>
      </c>
      <c r="Q502" s="9"/>
      <c r="R502" s="9"/>
      <c r="S502" s="9" t="s">
        <v>2682</v>
      </c>
    </row>
    <row r="503" spans="1:19">
      <c r="A503" s="9" t="s">
        <v>52</v>
      </c>
      <c r="B503" s="9" t="s">
        <v>2676</v>
      </c>
      <c r="C503" s="9" t="s">
        <v>53</v>
      </c>
      <c r="D503" s="9" t="s">
        <v>2802</v>
      </c>
      <c r="E503" s="9" t="s">
        <v>2803</v>
      </c>
      <c r="F503" s="9" t="s">
        <v>2804</v>
      </c>
      <c r="G503" s="9" t="s">
        <v>2803</v>
      </c>
      <c r="H503" s="9" t="s">
        <v>2805</v>
      </c>
      <c r="I503" s="9">
        <v>2022</v>
      </c>
      <c r="J503" s="9" t="s">
        <v>130</v>
      </c>
      <c r="K503" s="9" t="s">
        <v>2806</v>
      </c>
      <c r="L503" s="9" t="s">
        <v>2807</v>
      </c>
      <c r="M503" s="9" t="s">
        <v>2691</v>
      </c>
      <c r="N503" s="9" t="s">
        <v>2691</v>
      </c>
      <c r="O503" s="9" t="s">
        <v>113</v>
      </c>
      <c r="P503" s="9">
        <v>1</v>
      </c>
      <c r="Q503" s="9"/>
      <c r="R503" s="9"/>
      <c r="S503" s="9" t="s">
        <v>2682</v>
      </c>
    </row>
    <row r="504" spans="1:19">
      <c r="A504" s="9" t="s">
        <v>52</v>
      </c>
      <c r="B504" s="9" t="s">
        <v>2676</v>
      </c>
      <c r="C504" s="9" t="s">
        <v>53</v>
      </c>
      <c r="D504" s="9" t="s">
        <v>2808</v>
      </c>
      <c r="E504" s="9" t="s">
        <v>2809</v>
      </c>
      <c r="F504" s="9" t="s">
        <v>2739</v>
      </c>
      <c r="G504" s="9" t="s">
        <v>2809</v>
      </c>
      <c r="H504" s="9" t="s">
        <v>1810</v>
      </c>
      <c r="I504" s="9">
        <v>2022</v>
      </c>
      <c r="J504" s="9" t="s">
        <v>130</v>
      </c>
      <c r="K504" s="9" t="s">
        <v>2810</v>
      </c>
      <c r="L504" s="9" t="s">
        <v>2811</v>
      </c>
      <c r="M504" s="9" t="s">
        <v>2691</v>
      </c>
      <c r="N504" s="9" t="s">
        <v>2691</v>
      </c>
      <c r="O504" s="9" t="s">
        <v>113</v>
      </c>
      <c r="P504" s="9">
        <v>1</v>
      </c>
      <c r="Q504" s="9"/>
      <c r="R504" s="9"/>
      <c r="S504" s="9" t="s">
        <v>2682</v>
      </c>
    </row>
    <row r="505" spans="1:19">
      <c r="A505" s="9" t="s">
        <v>52</v>
      </c>
      <c r="B505" s="9" t="s">
        <v>2676</v>
      </c>
      <c r="C505" s="9" t="s">
        <v>53</v>
      </c>
      <c r="D505" s="9" t="s">
        <v>2812</v>
      </c>
      <c r="E505" s="9" t="s">
        <v>2813</v>
      </c>
      <c r="F505" s="9" t="s">
        <v>2213</v>
      </c>
      <c r="G505" s="9" t="s">
        <v>2813</v>
      </c>
      <c r="H505" s="9" t="s">
        <v>752</v>
      </c>
      <c r="I505" s="9">
        <v>2023</v>
      </c>
      <c r="J505" s="9" t="s">
        <v>130</v>
      </c>
      <c r="K505" s="9" t="s">
        <v>2814</v>
      </c>
      <c r="L505" s="9" t="s">
        <v>2815</v>
      </c>
      <c r="M505" s="9" t="s">
        <v>2691</v>
      </c>
      <c r="N505" s="9" t="s">
        <v>2691</v>
      </c>
      <c r="O505" s="9" t="s">
        <v>113</v>
      </c>
      <c r="P505" s="9">
        <v>1</v>
      </c>
      <c r="Q505" s="9"/>
      <c r="R505" s="9"/>
      <c r="S505" s="9" t="s">
        <v>2682</v>
      </c>
    </row>
    <row r="506" spans="1:19">
      <c r="A506" s="9" t="s">
        <v>52</v>
      </c>
      <c r="B506" s="9" t="s">
        <v>2676</v>
      </c>
      <c r="C506" s="9" t="s">
        <v>53</v>
      </c>
      <c r="D506" s="9" t="s">
        <v>2816</v>
      </c>
      <c r="E506" s="9" t="s">
        <v>2817</v>
      </c>
      <c r="F506" s="9" t="s">
        <v>2818</v>
      </c>
      <c r="G506" s="9" t="s">
        <v>2819</v>
      </c>
      <c r="H506" s="9" t="s">
        <v>2820</v>
      </c>
      <c r="I506" s="9">
        <v>2023</v>
      </c>
      <c r="J506" s="9" t="s">
        <v>158</v>
      </c>
      <c r="K506" s="9" t="s">
        <v>2821</v>
      </c>
      <c r="L506" s="9" t="s">
        <v>2822</v>
      </c>
      <c r="M506" s="9" t="s">
        <v>2691</v>
      </c>
      <c r="N506" s="9" t="s">
        <v>2691</v>
      </c>
      <c r="O506" s="9" t="s">
        <v>113</v>
      </c>
      <c r="P506" s="9">
        <v>1</v>
      </c>
      <c r="Q506" s="9"/>
      <c r="R506" s="9"/>
      <c r="S506" s="9" t="s">
        <v>2682</v>
      </c>
    </row>
    <row r="507" spans="1:19">
      <c r="A507" s="9" t="s">
        <v>52</v>
      </c>
      <c r="B507" s="9" t="s">
        <v>2676</v>
      </c>
      <c r="C507" s="9" t="s">
        <v>53</v>
      </c>
      <c r="D507" s="9" t="s">
        <v>2823</v>
      </c>
      <c r="E507" s="9" t="s">
        <v>2824</v>
      </c>
      <c r="F507" s="9" t="s">
        <v>411</v>
      </c>
      <c r="G507" s="9" t="s">
        <v>2824</v>
      </c>
      <c r="H507" s="9" t="s">
        <v>2825</v>
      </c>
      <c r="I507" s="9">
        <v>2022</v>
      </c>
      <c r="J507" s="9" t="s">
        <v>130</v>
      </c>
      <c r="K507" s="9" t="s">
        <v>2826</v>
      </c>
      <c r="L507" s="9" t="s">
        <v>2827</v>
      </c>
      <c r="M507" s="9" t="s">
        <v>2691</v>
      </c>
      <c r="N507" s="9" t="s">
        <v>2691</v>
      </c>
      <c r="O507" s="9" t="s">
        <v>113</v>
      </c>
      <c r="P507" s="9">
        <v>1</v>
      </c>
      <c r="Q507" s="9"/>
      <c r="R507" s="9"/>
      <c r="S507" s="9" t="s">
        <v>2682</v>
      </c>
    </row>
    <row r="508" spans="1:19">
      <c r="A508" s="9" t="s">
        <v>52</v>
      </c>
      <c r="B508" s="9" t="s">
        <v>2676</v>
      </c>
      <c r="C508" s="9" t="s">
        <v>53</v>
      </c>
      <c r="D508" s="9" t="s">
        <v>2828</v>
      </c>
      <c r="E508" s="9" t="s">
        <v>2829</v>
      </c>
      <c r="F508" s="9" t="s">
        <v>2830</v>
      </c>
      <c r="G508" s="9" t="s">
        <v>2829</v>
      </c>
      <c r="H508" s="9" t="s">
        <v>2831</v>
      </c>
      <c r="I508" s="9">
        <v>2022</v>
      </c>
      <c r="J508" s="9" t="s">
        <v>130</v>
      </c>
      <c r="K508" s="9" t="s">
        <v>2832</v>
      </c>
      <c r="L508" s="9" t="s">
        <v>2833</v>
      </c>
      <c r="M508" s="9" t="s">
        <v>2691</v>
      </c>
      <c r="N508" s="9" t="s">
        <v>2691</v>
      </c>
      <c r="O508" s="9" t="s">
        <v>113</v>
      </c>
      <c r="P508" s="9">
        <v>1</v>
      </c>
      <c r="Q508" s="9"/>
      <c r="R508" s="9"/>
      <c r="S508" s="9" t="s">
        <v>2682</v>
      </c>
    </row>
    <row r="509" spans="1:19">
      <c r="A509" s="9" t="s">
        <v>52</v>
      </c>
      <c r="B509" s="9" t="s">
        <v>2676</v>
      </c>
      <c r="C509" s="9" t="s">
        <v>53</v>
      </c>
      <c r="D509" s="9" t="s">
        <v>2834</v>
      </c>
      <c r="E509" s="9" t="s">
        <v>2835</v>
      </c>
      <c r="F509" s="9" t="s">
        <v>2836</v>
      </c>
      <c r="G509" s="9" t="s">
        <v>2835</v>
      </c>
      <c r="H509" s="9" t="s">
        <v>279</v>
      </c>
      <c r="I509" s="9">
        <v>2022</v>
      </c>
      <c r="J509" s="9" t="s">
        <v>130</v>
      </c>
      <c r="K509" s="9" t="s">
        <v>2837</v>
      </c>
      <c r="L509" s="9" t="s">
        <v>2838</v>
      </c>
      <c r="M509" s="9" t="s">
        <v>2691</v>
      </c>
      <c r="N509" s="9" t="s">
        <v>2691</v>
      </c>
      <c r="O509" s="9" t="s">
        <v>113</v>
      </c>
      <c r="P509" s="9">
        <v>1</v>
      </c>
      <c r="Q509" s="9"/>
      <c r="R509" s="9"/>
      <c r="S509" s="9" t="s">
        <v>2682</v>
      </c>
    </row>
    <row r="510" spans="1:19">
      <c r="A510" s="9" t="s">
        <v>52</v>
      </c>
      <c r="B510" s="9" t="s">
        <v>2676</v>
      </c>
      <c r="C510" s="9" t="s">
        <v>53</v>
      </c>
      <c r="D510" s="9" t="s">
        <v>2839</v>
      </c>
      <c r="E510" s="9" t="s">
        <v>2840</v>
      </c>
      <c r="F510" s="9" t="s">
        <v>488</v>
      </c>
      <c r="G510" s="9" t="s">
        <v>2840</v>
      </c>
      <c r="H510" s="9" t="s">
        <v>503</v>
      </c>
      <c r="I510" s="9">
        <v>2023</v>
      </c>
      <c r="J510" s="9" t="s">
        <v>130</v>
      </c>
      <c r="K510" s="9" t="s">
        <v>2841</v>
      </c>
      <c r="L510" s="9" t="s">
        <v>2842</v>
      </c>
      <c r="M510" s="9" t="s">
        <v>2681</v>
      </c>
      <c r="N510" s="9" t="s">
        <v>2681</v>
      </c>
      <c r="O510" s="9" t="s">
        <v>113</v>
      </c>
      <c r="P510" s="9">
        <v>1</v>
      </c>
      <c r="Q510" s="9"/>
      <c r="R510" s="9"/>
      <c r="S510" s="9" t="s">
        <v>2682</v>
      </c>
    </row>
    <row r="511" spans="1:19">
      <c r="A511" s="9" t="s">
        <v>52</v>
      </c>
      <c r="B511" s="9" t="s">
        <v>2676</v>
      </c>
      <c r="C511" s="9" t="s">
        <v>53</v>
      </c>
      <c r="D511" s="9" t="s">
        <v>2843</v>
      </c>
      <c r="E511" s="9" t="s">
        <v>2844</v>
      </c>
      <c r="F511" s="9" t="s">
        <v>2845</v>
      </c>
      <c r="G511" s="9" t="s">
        <v>2844</v>
      </c>
      <c r="H511" s="9" t="s">
        <v>529</v>
      </c>
      <c r="I511" s="9">
        <v>2023</v>
      </c>
      <c r="J511" s="9" t="s">
        <v>130</v>
      </c>
      <c r="K511" s="9" t="s">
        <v>2846</v>
      </c>
      <c r="L511" s="9" t="s">
        <v>252</v>
      </c>
      <c r="M511" s="9" t="s">
        <v>2681</v>
      </c>
      <c r="N511" s="9" t="s">
        <v>2681</v>
      </c>
      <c r="O511" s="9" t="s">
        <v>113</v>
      </c>
      <c r="P511" s="9">
        <v>1</v>
      </c>
      <c r="Q511" s="9"/>
      <c r="R511" s="9"/>
      <c r="S511" s="9" t="s">
        <v>2682</v>
      </c>
    </row>
    <row r="512" spans="1:19">
      <c r="A512" s="9" t="s">
        <v>52</v>
      </c>
      <c r="B512" s="9" t="s">
        <v>2676</v>
      </c>
      <c r="C512" s="9" t="s">
        <v>53</v>
      </c>
      <c r="D512" s="9" t="s">
        <v>2847</v>
      </c>
      <c r="E512" s="9" t="s">
        <v>2848</v>
      </c>
      <c r="F512" s="9" t="s">
        <v>708</v>
      </c>
      <c r="G512" s="9" t="s">
        <v>2848</v>
      </c>
      <c r="H512" s="9" t="s">
        <v>360</v>
      </c>
      <c r="I512" s="9">
        <v>2022</v>
      </c>
      <c r="J512" s="9" t="s">
        <v>130</v>
      </c>
      <c r="K512" s="9" t="s">
        <v>2849</v>
      </c>
      <c r="L512" s="9" t="s">
        <v>2850</v>
      </c>
      <c r="M512" s="9" t="s">
        <v>2762</v>
      </c>
      <c r="N512" s="9" t="s">
        <v>2762</v>
      </c>
      <c r="O512" s="9" t="s">
        <v>113</v>
      </c>
      <c r="P512" s="9">
        <v>1</v>
      </c>
      <c r="Q512" s="9"/>
      <c r="R512" s="9"/>
      <c r="S512" s="9" t="s">
        <v>2682</v>
      </c>
    </row>
    <row r="513" spans="1:19">
      <c r="A513" s="9" t="s">
        <v>52</v>
      </c>
      <c r="B513" s="9" t="s">
        <v>2676</v>
      </c>
      <c r="C513" s="9" t="s">
        <v>53</v>
      </c>
      <c r="D513" s="9" t="s">
        <v>2851</v>
      </c>
      <c r="E513" s="9" t="s">
        <v>2852</v>
      </c>
      <c r="F513" s="9" t="s">
        <v>2739</v>
      </c>
      <c r="G513" s="9" t="s">
        <v>2852</v>
      </c>
      <c r="H513" s="9" t="s">
        <v>1810</v>
      </c>
      <c r="I513" s="9">
        <v>2022</v>
      </c>
      <c r="J513" s="9" t="s">
        <v>130</v>
      </c>
      <c r="K513" s="9" t="s">
        <v>2853</v>
      </c>
      <c r="L513" s="9" t="s">
        <v>2854</v>
      </c>
      <c r="M513" s="9" t="s">
        <v>2691</v>
      </c>
      <c r="N513" s="9" t="s">
        <v>2691</v>
      </c>
      <c r="O513" s="9" t="s">
        <v>113</v>
      </c>
      <c r="P513" s="9">
        <v>1</v>
      </c>
      <c r="Q513" s="9"/>
      <c r="R513" s="9"/>
      <c r="S513" s="9" t="s">
        <v>2682</v>
      </c>
    </row>
    <row r="514" spans="1:19">
      <c r="A514" s="9" t="s">
        <v>52</v>
      </c>
      <c r="B514" s="9" t="s">
        <v>2676</v>
      </c>
      <c r="C514" s="9" t="s">
        <v>53</v>
      </c>
      <c r="D514" s="9" t="s">
        <v>2855</v>
      </c>
      <c r="E514" s="9" t="s">
        <v>2856</v>
      </c>
      <c r="F514" s="9" t="s">
        <v>2857</v>
      </c>
      <c r="G514" s="9" t="s">
        <v>2856</v>
      </c>
      <c r="H514" s="9" t="s">
        <v>752</v>
      </c>
      <c r="I514" s="9">
        <v>2023</v>
      </c>
      <c r="J514" s="9" t="s">
        <v>130</v>
      </c>
      <c r="K514" s="9" t="s">
        <v>2858</v>
      </c>
      <c r="L514" s="9" t="s">
        <v>2859</v>
      </c>
      <c r="M514" s="9" t="s">
        <v>2691</v>
      </c>
      <c r="N514" s="9" t="s">
        <v>2691</v>
      </c>
      <c r="O514" s="9" t="s">
        <v>113</v>
      </c>
      <c r="P514" s="9">
        <v>1</v>
      </c>
      <c r="Q514" s="9"/>
      <c r="R514" s="9"/>
      <c r="S514" s="9" t="s">
        <v>2682</v>
      </c>
    </row>
    <row r="515" spans="1:19">
      <c r="A515" s="9" t="s">
        <v>52</v>
      </c>
      <c r="B515" s="9" t="s">
        <v>2676</v>
      </c>
      <c r="C515" s="9" t="s">
        <v>53</v>
      </c>
      <c r="D515" s="9" t="s">
        <v>2860</v>
      </c>
      <c r="E515" s="9" t="s">
        <v>2861</v>
      </c>
      <c r="F515" s="9" t="s">
        <v>2862</v>
      </c>
      <c r="G515" s="9" t="s">
        <v>2863</v>
      </c>
      <c r="H515" s="9" t="s">
        <v>2864</v>
      </c>
      <c r="I515" s="9">
        <v>2024</v>
      </c>
      <c r="J515" s="9" t="s">
        <v>158</v>
      </c>
      <c r="K515" s="9" t="s">
        <v>2865</v>
      </c>
      <c r="L515" s="9" t="s">
        <v>2866</v>
      </c>
      <c r="M515" s="9" t="s">
        <v>2691</v>
      </c>
      <c r="N515" s="9" t="s">
        <v>2691</v>
      </c>
      <c r="O515" s="9" t="s">
        <v>113</v>
      </c>
      <c r="P515" s="9">
        <v>1</v>
      </c>
      <c r="Q515" s="9"/>
      <c r="R515" s="9"/>
      <c r="S515" s="9" t="s">
        <v>2682</v>
      </c>
    </row>
    <row r="516" spans="1:19">
      <c r="A516" s="9" t="s">
        <v>52</v>
      </c>
      <c r="B516" s="9" t="s">
        <v>2676</v>
      </c>
      <c r="C516" s="9" t="s">
        <v>53</v>
      </c>
      <c r="D516" s="9" t="s">
        <v>2867</v>
      </c>
      <c r="E516" s="9" t="s">
        <v>2868</v>
      </c>
      <c r="F516" s="9" t="s">
        <v>2869</v>
      </c>
      <c r="G516" s="9" t="s">
        <v>2868</v>
      </c>
      <c r="H516" s="9" t="s">
        <v>269</v>
      </c>
      <c r="I516" s="9">
        <v>2022</v>
      </c>
      <c r="J516" s="9" t="s">
        <v>130</v>
      </c>
      <c r="K516" s="9" t="s">
        <v>2870</v>
      </c>
      <c r="L516" s="9" t="s">
        <v>2871</v>
      </c>
      <c r="M516" s="9" t="s">
        <v>2691</v>
      </c>
      <c r="N516" s="9" t="s">
        <v>2691</v>
      </c>
      <c r="O516" s="9" t="s">
        <v>113</v>
      </c>
      <c r="P516" s="9">
        <v>1</v>
      </c>
      <c r="Q516" s="9"/>
      <c r="R516" s="9"/>
      <c r="S516" s="9" t="s">
        <v>2682</v>
      </c>
    </row>
    <row r="517" spans="1:19">
      <c r="A517" s="9" t="s">
        <v>52</v>
      </c>
      <c r="B517" s="9" t="s">
        <v>2676</v>
      </c>
      <c r="C517" s="9" t="s">
        <v>53</v>
      </c>
      <c r="D517" s="9" t="s">
        <v>2872</v>
      </c>
      <c r="E517" s="9" t="s">
        <v>2873</v>
      </c>
      <c r="F517" s="9" t="s">
        <v>2874</v>
      </c>
      <c r="G517" s="9" t="s">
        <v>2873</v>
      </c>
      <c r="H517" s="9" t="s">
        <v>2875</v>
      </c>
      <c r="I517" s="9">
        <v>2022</v>
      </c>
      <c r="J517" s="9" t="s">
        <v>130</v>
      </c>
      <c r="K517" s="9" t="s">
        <v>2876</v>
      </c>
      <c r="L517" s="9" t="s">
        <v>2877</v>
      </c>
      <c r="M517" s="9" t="s">
        <v>2691</v>
      </c>
      <c r="N517" s="9" t="s">
        <v>2691</v>
      </c>
      <c r="O517" s="9" t="s">
        <v>113</v>
      </c>
      <c r="P517" s="9">
        <v>1</v>
      </c>
      <c r="Q517" s="9"/>
      <c r="R517" s="9"/>
      <c r="S517" s="9" t="s">
        <v>2682</v>
      </c>
    </row>
    <row r="518" spans="1:19">
      <c r="A518" s="9" t="s">
        <v>52</v>
      </c>
      <c r="B518" s="9" t="s">
        <v>2676</v>
      </c>
      <c r="C518" s="9" t="s">
        <v>53</v>
      </c>
      <c r="D518" s="9" t="s">
        <v>2878</v>
      </c>
      <c r="E518" s="9" t="s">
        <v>2879</v>
      </c>
      <c r="F518" s="9" t="s">
        <v>359</v>
      </c>
      <c r="G518" s="9" t="s">
        <v>2879</v>
      </c>
      <c r="H518" s="9" t="s">
        <v>2689</v>
      </c>
      <c r="I518" s="9">
        <v>2022</v>
      </c>
      <c r="J518" s="9" t="s">
        <v>130</v>
      </c>
      <c r="K518" s="9" t="s">
        <v>2880</v>
      </c>
      <c r="L518" s="9" t="s">
        <v>2881</v>
      </c>
      <c r="M518" s="9" t="s">
        <v>2691</v>
      </c>
      <c r="N518" s="9" t="s">
        <v>2691</v>
      </c>
      <c r="O518" s="9" t="s">
        <v>113</v>
      </c>
      <c r="P518" s="9">
        <v>1</v>
      </c>
      <c r="Q518" s="9"/>
      <c r="R518" s="9"/>
      <c r="S518" s="9" t="s">
        <v>2682</v>
      </c>
    </row>
    <row r="519" spans="1:19">
      <c r="A519" s="9" t="s">
        <v>52</v>
      </c>
      <c r="B519" s="9" t="s">
        <v>2676</v>
      </c>
      <c r="C519" s="9" t="s">
        <v>53</v>
      </c>
      <c r="D519" s="9" t="s">
        <v>2882</v>
      </c>
      <c r="E519" s="9" t="s">
        <v>2883</v>
      </c>
      <c r="F519" s="9" t="s">
        <v>2884</v>
      </c>
      <c r="G519" s="9" t="s">
        <v>2883</v>
      </c>
      <c r="H519" s="9" t="s">
        <v>360</v>
      </c>
      <c r="I519" s="9">
        <v>2022</v>
      </c>
      <c r="J519" s="9" t="s">
        <v>130</v>
      </c>
      <c r="K519" s="9" t="s">
        <v>2885</v>
      </c>
      <c r="L519" s="9" t="s">
        <v>2886</v>
      </c>
      <c r="M519" s="9" t="s">
        <v>2681</v>
      </c>
      <c r="N519" s="9" t="s">
        <v>2681</v>
      </c>
      <c r="O519" s="9" t="s">
        <v>113</v>
      </c>
      <c r="P519" s="9">
        <v>1</v>
      </c>
      <c r="Q519" s="9"/>
      <c r="R519" s="9"/>
      <c r="S519" s="9" t="s">
        <v>2682</v>
      </c>
    </row>
    <row r="520" spans="1:19">
      <c r="A520" s="9" t="s">
        <v>52</v>
      </c>
      <c r="B520" s="9" t="s">
        <v>2676</v>
      </c>
      <c r="C520" s="9" t="s">
        <v>53</v>
      </c>
      <c r="D520" s="9" t="s">
        <v>2887</v>
      </c>
      <c r="E520" s="9" t="s">
        <v>2888</v>
      </c>
      <c r="F520" s="9" t="s">
        <v>2889</v>
      </c>
      <c r="G520" s="9" t="s">
        <v>2888</v>
      </c>
      <c r="H520" s="9" t="s">
        <v>401</v>
      </c>
      <c r="I520" s="9">
        <v>2022</v>
      </c>
      <c r="J520" s="9" t="s">
        <v>130</v>
      </c>
      <c r="K520" s="9" t="s">
        <v>2865</v>
      </c>
      <c r="L520" s="9" t="s">
        <v>2890</v>
      </c>
      <c r="M520" s="9" t="s">
        <v>2681</v>
      </c>
      <c r="N520" s="9" t="s">
        <v>2681</v>
      </c>
      <c r="O520" s="9" t="s">
        <v>113</v>
      </c>
      <c r="P520" s="9">
        <v>1</v>
      </c>
      <c r="Q520" s="9"/>
      <c r="R520" s="9"/>
      <c r="S520" s="9" t="s">
        <v>2682</v>
      </c>
    </row>
    <row r="521" spans="1:19">
      <c r="A521" s="9" t="s">
        <v>66</v>
      </c>
      <c r="B521" s="9" t="s">
        <v>2891</v>
      </c>
      <c r="C521" s="9" t="s">
        <v>68</v>
      </c>
      <c r="D521" s="9" t="s">
        <v>2892</v>
      </c>
      <c r="E521" s="9" t="s">
        <v>2893</v>
      </c>
      <c r="F521" s="9" t="s">
        <v>2894</v>
      </c>
      <c r="G521" s="9" t="s">
        <v>2893</v>
      </c>
      <c r="H521" s="9" t="s">
        <v>2805</v>
      </c>
      <c r="I521" s="9">
        <v>2022</v>
      </c>
      <c r="J521" s="9" t="s">
        <v>130</v>
      </c>
      <c r="K521" s="9" t="s">
        <v>2895</v>
      </c>
      <c r="L521" s="9" t="s">
        <v>2896</v>
      </c>
      <c r="M521" s="9" t="s">
        <v>2897</v>
      </c>
      <c r="N521" s="9" t="s">
        <v>2897</v>
      </c>
      <c r="O521" s="9" t="s">
        <v>113</v>
      </c>
      <c r="P521" s="9">
        <v>1</v>
      </c>
      <c r="Q521" s="9"/>
      <c r="R521" s="9"/>
      <c r="S521" s="9" t="s">
        <v>2898</v>
      </c>
    </row>
    <row r="522" spans="1:19">
      <c r="A522" s="9" t="s">
        <v>66</v>
      </c>
      <c r="B522" s="9" t="s">
        <v>2891</v>
      </c>
      <c r="C522" s="9" t="s">
        <v>68</v>
      </c>
      <c r="D522" s="9" t="s">
        <v>2899</v>
      </c>
      <c r="E522" s="9" t="s">
        <v>2900</v>
      </c>
      <c r="F522" s="9" t="s">
        <v>2901</v>
      </c>
      <c r="G522" s="9" t="s">
        <v>2900</v>
      </c>
      <c r="H522" s="9" t="s">
        <v>1739</v>
      </c>
      <c r="I522" s="9">
        <v>2023</v>
      </c>
      <c r="J522" s="9" t="s">
        <v>130</v>
      </c>
      <c r="K522" s="9" t="s">
        <v>2902</v>
      </c>
      <c r="L522" s="9" t="s">
        <v>252</v>
      </c>
      <c r="M522" s="9" t="s">
        <v>2897</v>
      </c>
      <c r="N522" s="9" t="s">
        <v>2897</v>
      </c>
      <c r="O522" s="9" t="s">
        <v>113</v>
      </c>
      <c r="P522" s="9">
        <v>1</v>
      </c>
      <c r="Q522" s="9"/>
      <c r="R522" s="9"/>
      <c r="S522" s="9" t="s">
        <v>2898</v>
      </c>
    </row>
    <row r="523" spans="1:19">
      <c r="A523" s="9" t="s">
        <v>66</v>
      </c>
      <c r="B523" s="9" t="s">
        <v>2891</v>
      </c>
      <c r="C523" s="9" t="s">
        <v>68</v>
      </c>
      <c r="D523" s="9" t="s">
        <v>2903</v>
      </c>
      <c r="E523" s="9" t="s">
        <v>2904</v>
      </c>
      <c r="F523" s="9" t="s">
        <v>2905</v>
      </c>
      <c r="G523" s="9" t="s">
        <v>2904</v>
      </c>
      <c r="H523" s="9" t="s">
        <v>1565</v>
      </c>
      <c r="I523" s="9">
        <v>2025</v>
      </c>
      <c r="J523" s="9" t="s">
        <v>130</v>
      </c>
      <c r="K523" s="9" t="s">
        <v>2906</v>
      </c>
      <c r="L523" s="9" t="s">
        <v>2907</v>
      </c>
      <c r="M523" s="9" t="s">
        <v>2908</v>
      </c>
      <c r="N523" s="9" t="s">
        <v>2908</v>
      </c>
      <c r="O523" s="9" t="s">
        <v>113</v>
      </c>
      <c r="P523" s="9">
        <v>1</v>
      </c>
      <c r="Q523" s="9"/>
      <c r="R523" s="9"/>
      <c r="S523" s="9" t="s">
        <v>2898</v>
      </c>
    </row>
    <row r="524" spans="1:19">
      <c r="A524" s="9" t="s">
        <v>66</v>
      </c>
      <c r="B524" s="9" t="s">
        <v>2891</v>
      </c>
      <c r="C524" s="9" t="s">
        <v>68</v>
      </c>
      <c r="D524" s="9" t="s">
        <v>2909</v>
      </c>
      <c r="E524" s="9" t="s">
        <v>2910</v>
      </c>
      <c r="F524" s="9" t="s">
        <v>2911</v>
      </c>
      <c r="G524" s="9" t="s">
        <v>2910</v>
      </c>
      <c r="H524" s="9" t="s">
        <v>2912</v>
      </c>
      <c r="I524" s="9">
        <v>2022</v>
      </c>
      <c r="J524" s="9" t="s">
        <v>130</v>
      </c>
      <c r="K524" s="9" t="s">
        <v>2913</v>
      </c>
      <c r="L524" s="9" t="s">
        <v>2914</v>
      </c>
      <c r="M524" s="9" t="s">
        <v>2897</v>
      </c>
      <c r="N524" s="9" t="s">
        <v>2897</v>
      </c>
      <c r="O524" s="9" t="s">
        <v>113</v>
      </c>
      <c r="P524" s="9">
        <v>1</v>
      </c>
      <c r="Q524" s="9"/>
      <c r="R524" s="9"/>
      <c r="S524" s="9" t="s">
        <v>2898</v>
      </c>
    </row>
    <row r="525" spans="1:19">
      <c r="A525" s="9" t="s">
        <v>66</v>
      </c>
      <c r="B525" s="9" t="s">
        <v>2891</v>
      </c>
      <c r="C525" s="9" t="s">
        <v>68</v>
      </c>
      <c r="D525" s="9" t="s">
        <v>2915</v>
      </c>
      <c r="E525" s="9" t="s">
        <v>2916</v>
      </c>
      <c r="F525" s="9" t="s">
        <v>2917</v>
      </c>
      <c r="G525" s="9" t="s">
        <v>2916</v>
      </c>
      <c r="H525" s="9" t="s">
        <v>757</v>
      </c>
      <c r="I525" s="9">
        <v>2023</v>
      </c>
      <c r="J525" s="9" t="s">
        <v>130</v>
      </c>
      <c r="K525" s="9" t="s">
        <v>2918</v>
      </c>
      <c r="L525" s="9" t="s">
        <v>2914</v>
      </c>
      <c r="M525" s="9" t="s">
        <v>2897</v>
      </c>
      <c r="N525" s="9" t="s">
        <v>2897</v>
      </c>
      <c r="O525" s="9" t="s">
        <v>113</v>
      </c>
      <c r="P525" s="9">
        <v>1</v>
      </c>
      <c r="Q525" s="9"/>
      <c r="R525" s="9"/>
      <c r="S525" s="9" t="s">
        <v>2898</v>
      </c>
    </row>
    <row r="526" spans="1:19">
      <c r="A526" s="9" t="s">
        <v>66</v>
      </c>
      <c r="B526" s="9" t="s">
        <v>2891</v>
      </c>
      <c r="C526" s="9" t="s">
        <v>68</v>
      </c>
      <c r="D526" s="9" t="s">
        <v>2919</v>
      </c>
      <c r="E526" s="9" t="s">
        <v>2920</v>
      </c>
      <c r="F526" s="9" t="s">
        <v>2921</v>
      </c>
      <c r="G526" s="9" t="s">
        <v>2920</v>
      </c>
      <c r="H526" s="9" t="s">
        <v>2922</v>
      </c>
      <c r="I526" s="9">
        <v>2023</v>
      </c>
      <c r="J526" s="9" t="s">
        <v>130</v>
      </c>
      <c r="K526" s="9" t="s">
        <v>2923</v>
      </c>
      <c r="L526" s="9" t="s">
        <v>2924</v>
      </c>
      <c r="M526" s="9" t="s">
        <v>2897</v>
      </c>
      <c r="N526" s="9" t="s">
        <v>2897</v>
      </c>
      <c r="O526" s="9" t="s">
        <v>113</v>
      </c>
      <c r="P526" s="9">
        <v>1</v>
      </c>
      <c r="Q526" s="9"/>
      <c r="R526" s="9"/>
      <c r="S526" s="9" t="s">
        <v>2898</v>
      </c>
    </row>
    <row r="527" spans="1:19">
      <c r="A527" s="9" t="s">
        <v>66</v>
      </c>
      <c r="B527" s="9" t="s">
        <v>2891</v>
      </c>
      <c r="C527" s="9" t="s">
        <v>68</v>
      </c>
      <c r="D527" s="9" t="s">
        <v>2925</v>
      </c>
      <c r="E527" s="9" t="s">
        <v>2926</v>
      </c>
      <c r="F527" s="9" t="s">
        <v>2927</v>
      </c>
      <c r="G527" s="9" t="s">
        <v>2926</v>
      </c>
      <c r="H527" s="9" t="s">
        <v>1565</v>
      </c>
      <c r="I527" s="9">
        <v>2025</v>
      </c>
      <c r="J527" s="9" t="s">
        <v>130</v>
      </c>
      <c r="K527" s="9" t="s">
        <v>2928</v>
      </c>
      <c r="L527" s="9" t="s">
        <v>2929</v>
      </c>
      <c r="M527" s="9" t="s">
        <v>2908</v>
      </c>
      <c r="N527" s="9" t="s">
        <v>2908</v>
      </c>
      <c r="O527" s="9" t="s">
        <v>113</v>
      </c>
      <c r="P527" s="9">
        <v>1</v>
      </c>
      <c r="Q527" s="9"/>
      <c r="R527" s="9"/>
      <c r="S527" s="9" t="s">
        <v>2898</v>
      </c>
    </row>
    <row r="528" spans="1:19">
      <c r="A528" s="9" t="s">
        <v>66</v>
      </c>
      <c r="B528" s="9" t="s">
        <v>2891</v>
      </c>
      <c r="C528" s="9" t="s">
        <v>68</v>
      </c>
      <c r="D528" s="9" t="s">
        <v>2930</v>
      </c>
      <c r="E528" s="9" t="s">
        <v>2931</v>
      </c>
      <c r="F528" s="9" t="s">
        <v>2905</v>
      </c>
      <c r="G528" s="9" t="s">
        <v>2931</v>
      </c>
      <c r="H528" s="9" t="s">
        <v>1565</v>
      </c>
      <c r="I528" s="9">
        <v>2025</v>
      </c>
      <c r="J528" s="9" t="s">
        <v>130</v>
      </c>
      <c r="K528" s="9" t="s">
        <v>2932</v>
      </c>
      <c r="L528" s="9" t="s">
        <v>2933</v>
      </c>
      <c r="M528" s="9" t="s">
        <v>2908</v>
      </c>
      <c r="N528" s="9" t="s">
        <v>2908</v>
      </c>
      <c r="O528" s="9" t="s">
        <v>113</v>
      </c>
      <c r="P528" s="9">
        <v>1</v>
      </c>
      <c r="Q528" s="9"/>
      <c r="R528" s="9"/>
      <c r="S528" s="9" t="s">
        <v>2898</v>
      </c>
    </row>
    <row r="529" spans="1:19">
      <c r="A529" s="9" t="s">
        <v>66</v>
      </c>
      <c r="B529" s="9" t="s">
        <v>2891</v>
      </c>
      <c r="C529" s="9" t="s">
        <v>68</v>
      </c>
      <c r="D529" s="9" t="s">
        <v>2934</v>
      </c>
      <c r="E529" s="9" t="s">
        <v>2935</v>
      </c>
      <c r="F529" s="9" t="s">
        <v>2927</v>
      </c>
      <c r="G529" s="9" t="s">
        <v>2935</v>
      </c>
      <c r="H529" s="9" t="s">
        <v>1565</v>
      </c>
      <c r="I529" s="9">
        <v>2025</v>
      </c>
      <c r="J529" s="9" t="s">
        <v>130</v>
      </c>
      <c r="K529" s="9" t="s">
        <v>2936</v>
      </c>
      <c r="L529" s="9" t="s">
        <v>2937</v>
      </c>
      <c r="M529" s="9" t="s">
        <v>2908</v>
      </c>
      <c r="N529" s="9" t="s">
        <v>2908</v>
      </c>
      <c r="O529" s="9" t="s">
        <v>113</v>
      </c>
      <c r="P529" s="9">
        <v>1</v>
      </c>
      <c r="Q529" s="9"/>
      <c r="R529" s="9"/>
      <c r="S529" s="9" t="s">
        <v>2898</v>
      </c>
    </row>
    <row r="530" spans="1:19">
      <c r="A530" s="9" t="s">
        <v>66</v>
      </c>
      <c r="B530" s="9" t="s">
        <v>2891</v>
      </c>
      <c r="C530" s="9" t="s">
        <v>68</v>
      </c>
      <c r="D530" s="9" t="s">
        <v>2938</v>
      </c>
      <c r="E530" s="9" t="s">
        <v>2939</v>
      </c>
      <c r="F530" s="9" t="s">
        <v>2940</v>
      </c>
      <c r="G530" s="9" t="s">
        <v>2939</v>
      </c>
      <c r="H530" s="9" t="s">
        <v>2941</v>
      </c>
      <c r="I530" s="9">
        <v>2023</v>
      </c>
      <c r="J530" s="9" t="s">
        <v>130</v>
      </c>
      <c r="K530" s="9" t="s">
        <v>2942</v>
      </c>
      <c r="L530" s="9" t="s">
        <v>2943</v>
      </c>
      <c r="M530" s="9" t="s">
        <v>2897</v>
      </c>
      <c r="N530" s="9" t="s">
        <v>2897</v>
      </c>
      <c r="O530" s="9" t="s">
        <v>113</v>
      </c>
      <c r="P530" s="9">
        <v>1</v>
      </c>
      <c r="Q530" s="9"/>
      <c r="R530" s="9"/>
      <c r="S530" s="9" t="s">
        <v>2898</v>
      </c>
    </row>
    <row r="531" spans="1:19">
      <c r="A531" s="9" t="s">
        <v>66</v>
      </c>
      <c r="B531" s="9" t="s">
        <v>2891</v>
      </c>
      <c r="C531" s="9" t="s">
        <v>68</v>
      </c>
      <c r="D531" s="9" t="s">
        <v>2944</v>
      </c>
      <c r="E531" s="9" t="s">
        <v>2945</v>
      </c>
      <c r="F531" s="9" t="s">
        <v>2946</v>
      </c>
      <c r="G531" s="9" t="s">
        <v>2947</v>
      </c>
      <c r="H531" s="9" t="s">
        <v>2948</v>
      </c>
      <c r="I531" s="9">
        <v>2023</v>
      </c>
      <c r="J531" s="9" t="s">
        <v>158</v>
      </c>
      <c r="K531" s="9" t="s">
        <v>2949</v>
      </c>
      <c r="L531" s="9" t="s">
        <v>2950</v>
      </c>
      <c r="M531" s="9" t="s">
        <v>2897</v>
      </c>
      <c r="N531" s="9" t="s">
        <v>2897</v>
      </c>
      <c r="O531" s="9" t="s">
        <v>113</v>
      </c>
      <c r="P531" s="9">
        <v>1</v>
      </c>
      <c r="Q531" s="9"/>
      <c r="R531" s="9"/>
      <c r="S531" s="9" t="s">
        <v>2898</v>
      </c>
    </row>
    <row r="532" spans="1:19">
      <c r="A532" s="9" t="s">
        <v>66</v>
      </c>
      <c r="B532" s="9" t="s">
        <v>2891</v>
      </c>
      <c r="C532" s="9" t="s">
        <v>68</v>
      </c>
      <c r="D532" s="9" t="s">
        <v>2951</v>
      </c>
      <c r="E532" s="9" t="s">
        <v>2952</v>
      </c>
      <c r="F532" s="9" t="s">
        <v>2953</v>
      </c>
      <c r="G532" s="9" t="s">
        <v>2954</v>
      </c>
      <c r="H532" s="9" t="s">
        <v>973</v>
      </c>
      <c r="I532" s="9">
        <v>2024</v>
      </c>
      <c r="J532" s="9" t="s">
        <v>158</v>
      </c>
      <c r="K532" s="9" t="s">
        <v>2955</v>
      </c>
      <c r="L532" s="9" t="s">
        <v>2956</v>
      </c>
      <c r="M532" s="9" t="s">
        <v>2897</v>
      </c>
      <c r="N532" s="9" t="s">
        <v>2897</v>
      </c>
      <c r="O532" s="9" t="s">
        <v>113</v>
      </c>
      <c r="P532" s="9">
        <v>1</v>
      </c>
      <c r="Q532" s="9"/>
      <c r="R532" s="9"/>
      <c r="S532" s="9" t="s">
        <v>2898</v>
      </c>
    </row>
    <row r="533" spans="1:19">
      <c r="A533" s="9" t="s">
        <v>66</v>
      </c>
      <c r="B533" s="9" t="s">
        <v>2891</v>
      </c>
      <c r="C533" s="9" t="s">
        <v>68</v>
      </c>
      <c r="D533" s="9" t="s">
        <v>2957</v>
      </c>
      <c r="E533" s="9" t="s">
        <v>2958</v>
      </c>
      <c r="F533" s="9" t="s">
        <v>2959</v>
      </c>
      <c r="G533" s="9" t="s">
        <v>2958</v>
      </c>
      <c r="H533" s="9" t="s">
        <v>186</v>
      </c>
      <c r="I533" s="9">
        <v>2021</v>
      </c>
      <c r="J533" s="9" t="s">
        <v>130</v>
      </c>
      <c r="K533" s="9" t="s">
        <v>2960</v>
      </c>
      <c r="L533" s="9" t="s">
        <v>2961</v>
      </c>
      <c r="M533" s="9" t="s">
        <v>2897</v>
      </c>
      <c r="N533" s="9" t="s">
        <v>2897</v>
      </c>
      <c r="O533" s="9" t="s">
        <v>113</v>
      </c>
      <c r="P533" s="9">
        <v>1</v>
      </c>
      <c r="Q533" s="9"/>
      <c r="R533" s="9"/>
      <c r="S533" s="9" t="s">
        <v>2898</v>
      </c>
    </row>
    <row r="534" spans="1:19">
      <c r="A534" s="9" t="s">
        <v>66</v>
      </c>
      <c r="B534" s="9" t="s">
        <v>2891</v>
      </c>
      <c r="C534" s="9" t="s">
        <v>68</v>
      </c>
      <c r="D534" s="9" t="s">
        <v>2962</v>
      </c>
      <c r="E534" s="9" t="s">
        <v>2963</v>
      </c>
      <c r="F534" s="9" t="s">
        <v>2894</v>
      </c>
      <c r="G534" s="9" t="s">
        <v>2963</v>
      </c>
      <c r="H534" s="9" t="s">
        <v>2805</v>
      </c>
      <c r="I534" s="9">
        <v>2022</v>
      </c>
      <c r="J534" s="9" t="s">
        <v>130</v>
      </c>
      <c r="K534" s="9" t="s">
        <v>2964</v>
      </c>
      <c r="L534" s="9" t="s">
        <v>2965</v>
      </c>
      <c r="M534" s="9" t="s">
        <v>2897</v>
      </c>
      <c r="N534" s="9" t="s">
        <v>2897</v>
      </c>
      <c r="O534" s="9" t="s">
        <v>113</v>
      </c>
      <c r="P534" s="9">
        <v>1</v>
      </c>
      <c r="Q534" s="9"/>
      <c r="R534" s="9"/>
      <c r="S534" s="9" t="s">
        <v>2898</v>
      </c>
    </row>
    <row r="535" spans="1:19">
      <c r="A535" s="9" t="s">
        <v>66</v>
      </c>
      <c r="B535" s="9" t="s">
        <v>2891</v>
      </c>
      <c r="C535" s="9" t="s">
        <v>68</v>
      </c>
      <c r="D535" s="9" t="s">
        <v>2966</v>
      </c>
      <c r="E535" s="9" t="s">
        <v>2967</v>
      </c>
      <c r="F535" s="9" t="s">
        <v>2968</v>
      </c>
      <c r="G535" s="9" t="s">
        <v>2967</v>
      </c>
      <c r="H535" s="9" t="s">
        <v>1810</v>
      </c>
      <c r="I535" s="9">
        <v>2022</v>
      </c>
      <c r="J535" s="9" t="s">
        <v>130</v>
      </c>
      <c r="K535" s="9" t="s">
        <v>2969</v>
      </c>
      <c r="L535" s="9" t="s">
        <v>2970</v>
      </c>
      <c r="M535" s="9" t="s">
        <v>2897</v>
      </c>
      <c r="N535" s="9" t="s">
        <v>2897</v>
      </c>
      <c r="O535" s="9" t="s">
        <v>113</v>
      </c>
      <c r="P535" s="9">
        <v>1</v>
      </c>
      <c r="Q535" s="9"/>
      <c r="R535" s="9"/>
      <c r="S535" s="9" t="s">
        <v>2898</v>
      </c>
    </row>
    <row r="536" spans="1:19">
      <c r="A536" s="9" t="s">
        <v>66</v>
      </c>
      <c r="B536" s="9" t="s">
        <v>2891</v>
      </c>
      <c r="C536" s="9" t="s">
        <v>68</v>
      </c>
      <c r="D536" s="9" t="s">
        <v>2971</v>
      </c>
      <c r="E536" s="9" t="s">
        <v>2972</v>
      </c>
      <c r="F536" s="9" t="s">
        <v>2921</v>
      </c>
      <c r="G536" s="9" t="s">
        <v>2972</v>
      </c>
      <c r="H536" s="9" t="s">
        <v>836</v>
      </c>
      <c r="I536" s="9">
        <v>2023</v>
      </c>
      <c r="J536" s="9" t="s">
        <v>130</v>
      </c>
      <c r="K536" s="9" t="s">
        <v>2973</v>
      </c>
      <c r="L536" s="9" t="s">
        <v>2974</v>
      </c>
      <c r="M536" s="9" t="s">
        <v>2897</v>
      </c>
      <c r="N536" s="9" t="s">
        <v>2897</v>
      </c>
      <c r="O536" s="9" t="s">
        <v>113</v>
      </c>
      <c r="P536" s="9">
        <v>1</v>
      </c>
      <c r="Q536" s="9"/>
      <c r="R536" s="9"/>
      <c r="S536" s="9" t="s">
        <v>2898</v>
      </c>
    </row>
    <row r="537" spans="1:19">
      <c r="A537" s="9" t="s">
        <v>66</v>
      </c>
      <c r="B537" s="9" t="s">
        <v>2891</v>
      </c>
      <c r="C537" s="9" t="s">
        <v>68</v>
      </c>
      <c r="D537" s="9" t="s">
        <v>2975</v>
      </c>
      <c r="E537" s="9" t="s">
        <v>2976</v>
      </c>
      <c r="F537" s="9" t="s">
        <v>2977</v>
      </c>
      <c r="G537" s="9" t="s">
        <v>2976</v>
      </c>
      <c r="H537" s="9" t="s">
        <v>840</v>
      </c>
      <c r="I537" s="9">
        <v>2023</v>
      </c>
      <c r="J537" s="9" t="s">
        <v>130</v>
      </c>
      <c r="K537" s="9" t="s">
        <v>2978</v>
      </c>
      <c r="L537" s="9" t="s">
        <v>2979</v>
      </c>
      <c r="M537" s="9" t="s">
        <v>2897</v>
      </c>
      <c r="N537" s="9" t="s">
        <v>2897</v>
      </c>
      <c r="O537" s="9" t="s">
        <v>113</v>
      </c>
      <c r="P537" s="9">
        <v>1</v>
      </c>
      <c r="Q537" s="9"/>
      <c r="R537" s="9"/>
      <c r="S537" s="9" t="s">
        <v>2898</v>
      </c>
    </row>
    <row r="538" spans="1:19">
      <c r="A538" s="9" t="s">
        <v>66</v>
      </c>
      <c r="B538" s="9" t="s">
        <v>2891</v>
      </c>
      <c r="C538" s="9" t="s">
        <v>68</v>
      </c>
      <c r="D538" s="9" t="s">
        <v>2980</v>
      </c>
      <c r="E538" s="9" t="s">
        <v>2981</v>
      </c>
      <c r="F538" s="9" t="s">
        <v>2968</v>
      </c>
      <c r="G538" s="9" t="s">
        <v>2981</v>
      </c>
      <c r="H538" s="9" t="s">
        <v>1739</v>
      </c>
      <c r="I538" s="9">
        <v>2023</v>
      </c>
      <c r="J538" s="9" t="s">
        <v>130</v>
      </c>
      <c r="K538" s="9" t="s">
        <v>2982</v>
      </c>
      <c r="L538" s="9" t="s">
        <v>2914</v>
      </c>
      <c r="M538" s="9" t="s">
        <v>2897</v>
      </c>
      <c r="N538" s="9" t="s">
        <v>2897</v>
      </c>
      <c r="O538" s="9" t="s">
        <v>113</v>
      </c>
      <c r="P538" s="9">
        <v>1</v>
      </c>
      <c r="Q538" s="9"/>
      <c r="R538" s="9"/>
      <c r="S538" s="9" t="s">
        <v>2898</v>
      </c>
    </row>
    <row r="539" spans="1:19">
      <c r="A539" s="9" t="s">
        <v>66</v>
      </c>
      <c r="B539" s="9" t="s">
        <v>2891</v>
      </c>
      <c r="C539" s="9" t="s">
        <v>68</v>
      </c>
      <c r="D539" s="9" t="s">
        <v>2983</v>
      </c>
      <c r="E539" s="9" t="s">
        <v>2984</v>
      </c>
      <c r="F539" s="9" t="s">
        <v>2985</v>
      </c>
      <c r="G539" s="9" t="s">
        <v>2986</v>
      </c>
      <c r="H539" s="9" t="s">
        <v>1022</v>
      </c>
      <c r="I539" s="9">
        <v>2025</v>
      </c>
      <c r="J539" s="9" t="s">
        <v>109</v>
      </c>
      <c r="K539" s="9" t="s">
        <v>2987</v>
      </c>
      <c r="L539" s="9" t="s">
        <v>2988</v>
      </c>
      <c r="M539" s="9" t="s">
        <v>2897</v>
      </c>
      <c r="N539" s="9" t="s">
        <v>2897</v>
      </c>
      <c r="O539" s="9" t="s">
        <v>113</v>
      </c>
      <c r="P539" s="9">
        <v>1</v>
      </c>
      <c r="Q539" s="9"/>
      <c r="R539" s="9"/>
      <c r="S539" s="9" t="s">
        <v>2898</v>
      </c>
    </row>
    <row r="540" spans="1:19">
      <c r="A540" s="9" t="s">
        <v>66</v>
      </c>
      <c r="B540" s="9" t="s">
        <v>2891</v>
      </c>
      <c r="C540" s="9" t="s">
        <v>68</v>
      </c>
      <c r="D540" s="9" t="s">
        <v>2989</v>
      </c>
      <c r="E540" s="9" t="s">
        <v>2990</v>
      </c>
      <c r="F540" s="9" t="s">
        <v>2985</v>
      </c>
      <c r="G540" s="9" t="s">
        <v>2991</v>
      </c>
      <c r="H540" s="9" t="s">
        <v>878</v>
      </c>
      <c r="I540" s="9">
        <v>2023</v>
      </c>
      <c r="J540" s="9" t="s">
        <v>158</v>
      </c>
      <c r="K540" s="9" t="s">
        <v>2960</v>
      </c>
      <c r="L540" s="9" t="s">
        <v>2992</v>
      </c>
      <c r="M540" s="9" t="s">
        <v>2897</v>
      </c>
      <c r="N540" s="9" t="s">
        <v>2897</v>
      </c>
      <c r="O540" s="9" t="s">
        <v>113</v>
      </c>
      <c r="P540" s="9">
        <v>1</v>
      </c>
      <c r="Q540" s="9"/>
      <c r="R540" s="9"/>
      <c r="S540" s="9" t="s">
        <v>2898</v>
      </c>
    </row>
    <row r="541" spans="1:19">
      <c r="A541" s="9" t="s">
        <v>66</v>
      </c>
      <c r="B541" s="9" t="s">
        <v>2891</v>
      </c>
      <c r="C541" s="9" t="s">
        <v>68</v>
      </c>
      <c r="D541" s="9" t="s">
        <v>2993</v>
      </c>
      <c r="E541" s="9" t="s">
        <v>2994</v>
      </c>
      <c r="F541" s="9" t="s">
        <v>2995</v>
      </c>
      <c r="G541" s="9" t="s">
        <v>2996</v>
      </c>
      <c r="H541" s="9" t="s">
        <v>2997</v>
      </c>
      <c r="I541" s="9">
        <v>2024</v>
      </c>
      <c r="J541" s="9" t="s">
        <v>158</v>
      </c>
      <c r="K541" s="9" t="s">
        <v>2998</v>
      </c>
      <c r="L541" s="9" t="s">
        <v>2999</v>
      </c>
      <c r="M541" s="9" t="s">
        <v>2897</v>
      </c>
      <c r="N541" s="9" t="s">
        <v>2897</v>
      </c>
      <c r="O541" s="9" t="s">
        <v>113</v>
      </c>
      <c r="P541" s="9">
        <v>1</v>
      </c>
      <c r="Q541" s="9"/>
      <c r="R541" s="9"/>
      <c r="S541" s="9" t="s">
        <v>2898</v>
      </c>
    </row>
    <row r="542" spans="1:19">
      <c r="A542" s="9" t="s">
        <v>66</v>
      </c>
      <c r="B542" s="9" t="s">
        <v>2891</v>
      </c>
      <c r="C542" s="9" t="s">
        <v>68</v>
      </c>
      <c r="D542" s="9" t="s">
        <v>3000</v>
      </c>
      <c r="E542" s="9" t="s">
        <v>3001</v>
      </c>
      <c r="F542" s="9" t="s">
        <v>3002</v>
      </c>
      <c r="G542" s="9" t="s">
        <v>3003</v>
      </c>
      <c r="H542" s="9" t="s">
        <v>3004</v>
      </c>
      <c r="I542" s="9">
        <v>2026</v>
      </c>
      <c r="J542" s="9" t="s">
        <v>109</v>
      </c>
      <c r="K542" s="9" t="s">
        <v>3005</v>
      </c>
      <c r="L542" s="9" t="s">
        <v>3006</v>
      </c>
      <c r="M542" s="9" t="s">
        <v>2897</v>
      </c>
      <c r="N542" s="9" t="s">
        <v>2897</v>
      </c>
      <c r="O542" s="9" t="s">
        <v>113</v>
      </c>
      <c r="P542" s="9">
        <v>1</v>
      </c>
      <c r="Q542" s="9"/>
      <c r="R542" s="9"/>
      <c r="S542" s="9" t="s">
        <v>2898</v>
      </c>
    </row>
    <row r="543" spans="1:19">
      <c r="A543" s="9" t="s">
        <v>66</v>
      </c>
      <c r="B543" s="9" t="s">
        <v>2891</v>
      </c>
      <c r="C543" s="9" t="s">
        <v>68</v>
      </c>
      <c r="D543" s="9" t="s">
        <v>3007</v>
      </c>
      <c r="E543" s="9" t="s">
        <v>3008</v>
      </c>
      <c r="F543" s="9" t="s">
        <v>2968</v>
      </c>
      <c r="G543" s="9" t="s">
        <v>3008</v>
      </c>
      <c r="H543" s="9" t="s">
        <v>360</v>
      </c>
      <c r="I543" s="9">
        <v>2022</v>
      </c>
      <c r="J543" s="9" t="s">
        <v>130</v>
      </c>
      <c r="K543" s="9" t="s">
        <v>3009</v>
      </c>
      <c r="L543" s="9" t="s">
        <v>3010</v>
      </c>
      <c r="M543" s="9" t="s">
        <v>2897</v>
      </c>
      <c r="N543" s="9" t="s">
        <v>2897</v>
      </c>
      <c r="O543" s="9" t="s">
        <v>113</v>
      </c>
      <c r="P543" s="9">
        <v>1</v>
      </c>
      <c r="Q543" s="9"/>
      <c r="R543" s="9"/>
      <c r="S543" s="9" t="s">
        <v>2898</v>
      </c>
    </row>
    <row r="544" spans="1:19">
      <c r="A544" s="9" t="s">
        <v>66</v>
      </c>
      <c r="B544" s="9" t="s">
        <v>2891</v>
      </c>
      <c r="C544" s="9" t="s">
        <v>68</v>
      </c>
      <c r="D544" s="9" t="s">
        <v>3011</v>
      </c>
      <c r="E544" s="9" t="s">
        <v>3012</v>
      </c>
      <c r="F544" s="9" t="s">
        <v>2977</v>
      </c>
      <c r="G544" s="9" t="s">
        <v>3012</v>
      </c>
      <c r="H544" s="9" t="s">
        <v>840</v>
      </c>
      <c r="I544" s="9">
        <v>2023</v>
      </c>
      <c r="J544" s="9" t="s">
        <v>130</v>
      </c>
      <c r="K544" s="9" t="s">
        <v>3013</v>
      </c>
      <c r="L544" s="9" t="s">
        <v>3014</v>
      </c>
      <c r="M544" s="9" t="s">
        <v>2897</v>
      </c>
      <c r="N544" s="9" t="s">
        <v>2897</v>
      </c>
      <c r="O544" s="9" t="s">
        <v>113</v>
      </c>
      <c r="P544" s="9">
        <v>1</v>
      </c>
      <c r="Q544" s="9"/>
      <c r="R544" s="9"/>
      <c r="S544" s="9" t="s">
        <v>2898</v>
      </c>
    </row>
    <row r="545" spans="1:19">
      <c r="A545" s="9" t="s">
        <v>66</v>
      </c>
      <c r="B545" s="9" t="s">
        <v>2891</v>
      </c>
      <c r="C545" s="9" t="s">
        <v>68</v>
      </c>
      <c r="D545" s="9" t="s">
        <v>3015</v>
      </c>
      <c r="E545" s="9" t="s">
        <v>3016</v>
      </c>
      <c r="F545" s="9" t="s">
        <v>2402</v>
      </c>
      <c r="G545" s="9" t="s">
        <v>3016</v>
      </c>
      <c r="H545" s="9" t="s">
        <v>1565</v>
      </c>
      <c r="I545" s="9">
        <v>2025</v>
      </c>
      <c r="J545" s="9" t="s">
        <v>130</v>
      </c>
      <c r="K545" s="9" t="s">
        <v>3017</v>
      </c>
      <c r="L545" s="9" t="s">
        <v>3018</v>
      </c>
      <c r="M545" s="9" t="s">
        <v>2908</v>
      </c>
      <c r="N545" s="9" t="s">
        <v>2908</v>
      </c>
      <c r="O545" s="9" t="s">
        <v>113</v>
      </c>
      <c r="P545" s="9">
        <v>1</v>
      </c>
      <c r="Q545" s="9"/>
      <c r="R545" s="9"/>
      <c r="S545" s="9" t="s">
        <v>2898</v>
      </c>
    </row>
    <row r="546" spans="1:19">
      <c r="A546" s="9" t="s">
        <v>66</v>
      </c>
      <c r="B546" s="9" t="s">
        <v>2891</v>
      </c>
      <c r="C546" s="9" t="s">
        <v>68</v>
      </c>
      <c r="D546" s="9" t="s">
        <v>3019</v>
      </c>
      <c r="E546" s="9" t="s">
        <v>3020</v>
      </c>
      <c r="F546" s="9" t="s">
        <v>2905</v>
      </c>
      <c r="G546" s="9" t="s">
        <v>3020</v>
      </c>
      <c r="H546" s="9" t="s">
        <v>1565</v>
      </c>
      <c r="I546" s="9">
        <v>2025</v>
      </c>
      <c r="J546" s="9" t="s">
        <v>130</v>
      </c>
      <c r="K546" s="9" t="s">
        <v>3021</v>
      </c>
      <c r="L546" s="9" t="s">
        <v>3022</v>
      </c>
      <c r="M546" s="9" t="s">
        <v>2908</v>
      </c>
      <c r="N546" s="9" t="s">
        <v>2908</v>
      </c>
      <c r="O546" s="9" t="s">
        <v>113</v>
      </c>
      <c r="P546" s="9">
        <v>1</v>
      </c>
      <c r="Q546" s="9"/>
      <c r="R546" s="9"/>
      <c r="S546" s="9" t="s">
        <v>2898</v>
      </c>
    </row>
    <row r="547" spans="1:19">
      <c r="A547" s="9" t="s">
        <v>66</v>
      </c>
      <c r="B547" s="9" t="s">
        <v>2891</v>
      </c>
      <c r="C547" s="9" t="s">
        <v>68</v>
      </c>
      <c r="D547" s="9" t="s">
        <v>3023</v>
      </c>
      <c r="E547" s="9" t="s">
        <v>3024</v>
      </c>
      <c r="F547" s="9" t="s">
        <v>2905</v>
      </c>
      <c r="G547" s="9" t="s">
        <v>3024</v>
      </c>
      <c r="H547" s="9" t="s">
        <v>1565</v>
      </c>
      <c r="I547" s="9">
        <v>2025</v>
      </c>
      <c r="J547" s="9" t="s">
        <v>130</v>
      </c>
      <c r="K547" s="9" t="s">
        <v>3025</v>
      </c>
      <c r="L547" s="9" t="s">
        <v>3026</v>
      </c>
      <c r="M547" s="9" t="s">
        <v>2908</v>
      </c>
      <c r="N547" s="9" t="s">
        <v>2908</v>
      </c>
      <c r="O547" s="9" t="s">
        <v>113</v>
      </c>
      <c r="P547" s="9">
        <v>1</v>
      </c>
      <c r="Q547" s="9"/>
      <c r="R547" s="9"/>
      <c r="S547" s="9" t="s">
        <v>2898</v>
      </c>
    </row>
    <row r="548" spans="1:19">
      <c r="A548" s="9" t="s">
        <v>66</v>
      </c>
      <c r="B548" s="9" t="s">
        <v>2891</v>
      </c>
      <c r="C548" s="9" t="s">
        <v>68</v>
      </c>
      <c r="D548" s="9" t="s">
        <v>3027</v>
      </c>
      <c r="E548" s="9" t="s">
        <v>3028</v>
      </c>
      <c r="F548" s="9" t="s">
        <v>3029</v>
      </c>
      <c r="G548" s="9" t="s">
        <v>3028</v>
      </c>
      <c r="H548" s="9" t="s">
        <v>885</v>
      </c>
      <c r="I548" s="9">
        <v>2023</v>
      </c>
      <c r="J548" s="9" t="s">
        <v>130</v>
      </c>
      <c r="K548" s="9" t="s">
        <v>3030</v>
      </c>
      <c r="L548" s="9" t="s">
        <v>3031</v>
      </c>
      <c r="M548" s="9" t="s">
        <v>2897</v>
      </c>
      <c r="N548" s="9" t="s">
        <v>2897</v>
      </c>
      <c r="O548" s="9" t="s">
        <v>113</v>
      </c>
      <c r="P548" s="9">
        <v>1</v>
      </c>
      <c r="Q548" s="9"/>
      <c r="R548" s="9"/>
      <c r="S548" s="9" t="s">
        <v>2898</v>
      </c>
    </row>
    <row r="549" spans="1:19">
      <c r="A549" s="9" t="s">
        <v>66</v>
      </c>
      <c r="B549" s="9" t="s">
        <v>2891</v>
      </c>
      <c r="C549" s="9" t="s">
        <v>68</v>
      </c>
      <c r="D549" s="9" t="s">
        <v>3032</v>
      </c>
      <c r="E549" s="9" t="s">
        <v>3033</v>
      </c>
      <c r="F549" s="9" t="s">
        <v>2402</v>
      </c>
      <c r="G549" s="9" t="s">
        <v>3033</v>
      </c>
      <c r="H549" s="9" t="s">
        <v>1565</v>
      </c>
      <c r="I549" s="9">
        <v>2025</v>
      </c>
      <c r="J549" s="9" t="s">
        <v>130</v>
      </c>
      <c r="K549" s="9" t="s">
        <v>3034</v>
      </c>
      <c r="L549" s="9" t="s">
        <v>3035</v>
      </c>
      <c r="M549" s="9" t="s">
        <v>2908</v>
      </c>
      <c r="N549" s="9" t="s">
        <v>2908</v>
      </c>
      <c r="O549" s="9" t="s">
        <v>113</v>
      </c>
      <c r="P549" s="9">
        <v>1</v>
      </c>
      <c r="Q549" s="9"/>
      <c r="R549" s="9"/>
      <c r="S549" s="9" t="s">
        <v>2898</v>
      </c>
    </row>
    <row r="550" spans="1:19">
      <c r="A550" s="9" t="s">
        <v>66</v>
      </c>
      <c r="B550" s="9" t="s">
        <v>2891</v>
      </c>
      <c r="C550" s="9" t="s">
        <v>68</v>
      </c>
      <c r="D550" s="9" t="s">
        <v>3036</v>
      </c>
      <c r="E550" s="9" t="s">
        <v>3037</v>
      </c>
      <c r="F550" s="9" t="s">
        <v>3038</v>
      </c>
      <c r="G550" s="9" t="s">
        <v>3037</v>
      </c>
      <c r="H550" s="9" t="s">
        <v>1565</v>
      </c>
      <c r="I550" s="9">
        <v>2025</v>
      </c>
      <c r="J550" s="9" t="s">
        <v>130</v>
      </c>
      <c r="K550" s="9" t="s">
        <v>3039</v>
      </c>
      <c r="L550" s="9" t="s">
        <v>3040</v>
      </c>
      <c r="M550" s="9" t="s">
        <v>2908</v>
      </c>
      <c r="N550" s="9" t="s">
        <v>2908</v>
      </c>
      <c r="O550" s="9" t="s">
        <v>113</v>
      </c>
      <c r="P550" s="9">
        <v>1</v>
      </c>
      <c r="Q550" s="9"/>
      <c r="R550" s="9"/>
      <c r="S550" s="9" t="s">
        <v>2898</v>
      </c>
    </row>
    <row r="551" spans="1:19">
      <c r="A551" s="9" t="s">
        <v>66</v>
      </c>
      <c r="B551" s="9" t="s">
        <v>2891</v>
      </c>
      <c r="C551" s="9" t="s">
        <v>68</v>
      </c>
      <c r="D551" s="9" t="s">
        <v>3041</v>
      </c>
      <c r="E551" s="9" t="s">
        <v>3042</v>
      </c>
      <c r="F551" s="9" t="s">
        <v>2402</v>
      </c>
      <c r="G551" s="9" t="s">
        <v>3042</v>
      </c>
      <c r="H551" s="9" t="s">
        <v>1565</v>
      </c>
      <c r="I551" s="9">
        <v>2025</v>
      </c>
      <c r="J551" s="9" t="s">
        <v>130</v>
      </c>
      <c r="K551" s="9" t="s">
        <v>3043</v>
      </c>
      <c r="L551" s="9" t="s">
        <v>3044</v>
      </c>
      <c r="M551" s="9" t="s">
        <v>2908</v>
      </c>
      <c r="N551" s="9" t="s">
        <v>2908</v>
      </c>
      <c r="O551" s="9" t="s">
        <v>113</v>
      </c>
      <c r="P551" s="9">
        <v>1</v>
      </c>
      <c r="Q551" s="9"/>
      <c r="R551" s="9"/>
      <c r="S551" s="9" t="s">
        <v>2898</v>
      </c>
    </row>
    <row r="552" spans="1:19">
      <c r="A552" s="9" t="s">
        <v>66</v>
      </c>
      <c r="B552" s="9" t="s">
        <v>2891</v>
      </c>
      <c r="C552" s="9" t="s">
        <v>68</v>
      </c>
      <c r="D552" s="9" t="s">
        <v>3045</v>
      </c>
      <c r="E552" s="9" t="s">
        <v>3046</v>
      </c>
      <c r="F552" s="9" t="s">
        <v>3047</v>
      </c>
      <c r="G552" s="9" t="s">
        <v>3046</v>
      </c>
      <c r="H552" s="9" t="s">
        <v>1565</v>
      </c>
      <c r="I552" s="9">
        <v>2025</v>
      </c>
      <c r="J552" s="9" t="s">
        <v>130</v>
      </c>
      <c r="K552" s="9" t="s">
        <v>3048</v>
      </c>
      <c r="L552" s="9" t="s">
        <v>3049</v>
      </c>
      <c r="M552" s="9" t="s">
        <v>2908</v>
      </c>
      <c r="N552" s="9" t="s">
        <v>2908</v>
      </c>
      <c r="O552" s="9" t="s">
        <v>113</v>
      </c>
      <c r="P552" s="9">
        <v>1</v>
      </c>
      <c r="Q552" s="9"/>
      <c r="R552" s="9"/>
      <c r="S552" s="9" t="s">
        <v>2898</v>
      </c>
    </row>
    <row r="553" spans="1:19">
      <c r="A553" s="9" t="s">
        <v>66</v>
      </c>
      <c r="B553" s="9" t="s">
        <v>2891</v>
      </c>
      <c r="C553" s="9" t="s">
        <v>68</v>
      </c>
      <c r="D553" s="9" t="s">
        <v>3050</v>
      </c>
      <c r="E553" s="9" t="s">
        <v>3051</v>
      </c>
      <c r="F553" s="9" t="s">
        <v>2894</v>
      </c>
      <c r="G553" s="9" t="s">
        <v>3051</v>
      </c>
      <c r="H553" s="9" t="s">
        <v>2805</v>
      </c>
      <c r="I553" s="9">
        <v>2022</v>
      </c>
      <c r="J553" s="9" t="s">
        <v>130</v>
      </c>
      <c r="K553" s="9" t="s">
        <v>3052</v>
      </c>
      <c r="L553" s="9" t="s">
        <v>252</v>
      </c>
      <c r="M553" s="9" t="s">
        <v>2897</v>
      </c>
      <c r="N553" s="9" t="s">
        <v>2897</v>
      </c>
      <c r="O553" s="9" t="s">
        <v>113</v>
      </c>
      <c r="P553" s="9">
        <v>1</v>
      </c>
      <c r="Q553" s="9"/>
      <c r="R553" s="9"/>
      <c r="S553" s="9" t="s">
        <v>2898</v>
      </c>
    </row>
    <row r="554" spans="1:19">
      <c r="A554" s="9" t="s">
        <v>66</v>
      </c>
      <c r="B554" s="9" t="s">
        <v>2891</v>
      </c>
      <c r="C554" s="9" t="s">
        <v>68</v>
      </c>
      <c r="D554" s="9" t="s">
        <v>3053</v>
      </c>
      <c r="E554" s="9" t="s">
        <v>3054</v>
      </c>
      <c r="F554" s="9" t="s">
        <v>3029</v>
      </c>
      <c r="G554" s="9" t="s">
        <v>3054</v>
      </c>
      <c r="H554" s="9" t="s">
        <v>360</v>
      </c>
      <c r="I554" s="9">
        <v>2022</v>
      </c>
      <c r="J554" s="9" t="s">
        <v>130</v>
      </c>
      <c r="K554" s="9" t="s">
        <v>3055</v>
      </c>
      <c r="L554" s="9" t="s">
        <v>3056</v>
      </c>
      <c r="M554" s="9" t="s">
        <v>2897</v>
      </c>
      <c r="N554" s="9" t="s">
        <v>2897</v>
      </c>
      <c r="O554" s="9" t="s">
        <v>113</v>
      </c>
      <c r="P554" s="9">
        <v>1</v>
      </c>
      <c r="Q554" s="9"/>
      <c r="R554" s="9"/>
      <c r="S554" s="9" t="s">
        <v>2898</v>
      </c>
    </row>
    <row r="555" spans="1:19">
      <c r="A555" s="9" t="s">
        <v>66</v>
      </c>
      <c r="B555" s="9" t="s">
        <v>2891</v>
      </c>
      <c r="C555" s="9" t="s">
        <v>68</v>
      </c>
      <c r="D555" s="9" t="s">
        <v>3057</v>
      </c>
      <c r="E555" s="9" t="s">
        <v>3058</v>
      </c>
      <c r="F555" s="9" t="s">
        <v>3059</v>
      </c>
      <c r="G555" s="9" t="s">
        <v>3058</v>
      </c>
      <c r="H555" s="9" t="s">
        <v>757</v>
      </c>
      <c r="I555" s="9">
        <v>2023</v>
      </c>
      <c r="J555" s="9" t="s">
        <v>130</v>
      </c>
      <c r="K555" s="9" t="s">
        <v>3060</v>
      </c>
      <c r="L555" s="9" t="s">
        <v>3061</v>
      </c>
      <c r="M555" s="9" t="s">
        <v>2897</v>
      </c>
      <c r="N555" s="9" t="s">
        <v>2897</v>
      </c>
      <c r="O555" s="9" t="s">
        <v>113</v>
      </c>
      <c r="P555" s="9">
        <v>1</v>
      </c>
      <c r="Q555" s="9"/>
      <c r="R555" s="9"/>
      <c r="S555" s="9" t="s">
        <v>2898</v>
      </c>
    </row>
    <row r="556" spans="1:19">
      <c r="A556" s="9" t="s">
        <v>66</v>
      </c>
      <c r="B556" s="9" t="s">
        <v>2891</v>
      </c>
      <c r="C556" s="9" t="s">
        <v>68</v>
      </c>
      <c r="D556" s="9" t="s">
        <v>3062</v>
      </c>
      <c r="E556" s="9" t="s">
        <v>3063</v>
      </c>
      <c r="F556" s="9" t="s">
        <v>2402</v>
      </c>
      <c r="G556" s="9" t="s">
        <v>3063</v>
      </c>
      <c r="H556" s="9" t="s">
        <v>1565</v>
      </c>
      <c r="I556" s="9">
        <v>2025</v>
      </c>
      <c r="J556" s="9" t="s">
        <v>130</v>
      </c>
      <c r="K556" s="9" t="s">
        <v>3064</v>
      </c>
      <c r="L556" s="9" t="s">
        <v>3065</v>
      </c>
      <c r="M556" s="9" t="s">
        <v>2908</v>
      </c>
      <c r="N556" s="9" t="s">
        <v>2908</v>
      </c>
      <c r="O556" s="9" t="s">
        <v>113</v>
      </c>
      <c r="P556" s="9">
        <v>1</v>
      </c>
      <c r="Q556" s="9"/>
      <c r="R556" s="9"/>
      <c r="S556" s="9" t="s">
        <v>2898</v>
      </c>
    </row>
    <row r="557" spans="1:19">
      <c r="A557" s="9" t="s">
        <v>66</v>
      </c>
      <c r="B557" s="9" t="s">
        <v>2891</v>
      </c>
      <c r="C557" s="9" t="s">
        <v>68</v>
      </c>
      <c r="D557" s="9" t="s">
        <v>3066</v>
      </c>
      <c r="E557" s="9" t="s">
        <v>3067</v>
      </c>
      <c r="F557" s="9" t="s">
        <v>2905</v>
      </c>
      <c r="G557" s="9" t="s">
        <v>3067</v>
      </c>
      <c r="H557" s="9" t="s">
        <v>1565</v>
      </c>
      <c r="I557" s="9">
        <v>2025</v>
      </c>
      <c r="J557" s="9" t="s">
        <v>130</v>
      </c>
      <c r="K557" s="9" t="s">
        <v>3068</v>
      </c>
      <c r="L557" s="9" t="s">
        <v>3069</v>
      </c>
      <c r="M557" s="9" t="s">
        <v>2908</v>
      </c>
      <c r="N557" s="9" t="s">
        <v>2908</v>
      </c>
      <c r="O557" s="9" t="s">
        <v>113</v>
      </c>
      <c r="P557" s="9">
        <v>1</v>
      </c>
      <c r="Q557" s="9"/>
      <c r="R557" s="9"/>
      <c r="S557" s="9" t="s">
        <v>2898</v>
      </c>
    </row>
    <row r="558" spans="1:19">
      <c r="A558" s="9" t="s">
        <v>66</v>
      </c>
      <c r="B558" s="9" t="s">
        <v>2891</v>
      </c>
      <c r="C558" s="9" t="s">
        <v>68</v>
      </c>
      <c r="D558" s="9" t="s">
        <v>3070</v>
      </c>
      <c r="E558" s="9" t="s">
        <v>3071</v>
      </c>
      <c r="F558" s="9" t="s">
        <v>2946</v>
      </c>
      <c r="G558" s="9" t="s">
        <v>3072</v>
      </c>
      <c r="H558" s="9" t="s">
        <v>2948</v>
      </c>
      <c r="I558" s="9">
        <v>2023</v>
      </c>
      <c r="J558" s="9" t="s">
        <v>158</v>
      </c>
      <c r="K558" s="9" t="s">
        <v>3073</v>
      </c>
      <c r="L558" s="9" t="s">
        <v>3074</v>
      </c>
      <c r="M558" s="9" t="s">
        <v>2897</v>
      </c>
      <c r="N558" s="9" t="s">
        <v>2897</v>
      </c>
      <c r="O558" s="9" t="s">
        <v>113</v>
      </c>
      <c r="P558" s="9">
        <v>1</v>
      </c>
      <c r="Q558" s="9"/>
      <c r="R558" s="9"/>
      <c r="S558" s="9" t="s">
        <v>2898</v>
      </c>
    </row>
    <row r="559" spans="1:19">
      <c r="A559" s="9" t="s">
        <v>66</v>
      </c>
      <c r="B559" s="9" t="s">
        <v>2891</v>
      </c>
      <c r="C559" s="9" t="s">
        <v>68</v>
      </c>
      <c r="D559" s="9" t="s">
        <v>3075</v>
      </c>
      <c r="E559" s="9" t="s">
        <v>3076</v>
      </c>
      <c r="F559" s="9" t="s">
        <v>2977</v>
      </c>
      <c r="G559" s="9" t="s">
        <v>3076</v>
      </c>
      <c r="H559" s="9" t="s">
        <v>840</v>
      </c>
      <c r="I559" s="9">
        <v>2023</v>
      </c>
      <c r="J559" s="9" t="s">
        <v>130</v>
      </c>
      <c r="K559" s="9" t="s">
        <v>3077</v>
      </c>
      <c r="L559" s="9" t="s">
        <v>3078</v>
      </c>
      <c r="M559" s="9" t="s">
        <v>2897</v>
      </c>
      <c r="N559" s="9" t="s">
        <v>2897</v>
      </c>
      <c r="O559" s="9" t="s">
        <v>113</v>
      </c>
      <c r="P559" s="9">
        <v>1</v>
      </c>
      <c r="Q559" s="9"/>
      <c r="R559" s="9"/>
      <c r="S559" s="9" t="s">
        <v>2898</v>
      </c>
    </row>
    <row r="560" spans="1:19">
      <c r="A560" s="9" t="s">
        <v>66</v>
      </c>
      <c r="B560" s="9" t="s">
        <v>2891</v>
      </c>
      <c r="C560" s="9" t="s">
        <v>68</v>
      </c>
      <c r="D560" s="9" t="s">
        <v>3079</v>
      </c>
      <c r="E560" s="9" t="s">
        <v>3080</v>
      </c>
      <c r="F560" s="9" t="s">
        <v>3081</v>
      </c>
      <c r="G560" s="9" t="s">
        <v>3080</v>
      </c>
      <c r="H560" s="9" t="s">
        <v>387</v>
      </c>
      <c r="I560" s="9">
        <v>2022</v>
      </c>
      <c r="J560" s="9" t="s">
        <v>130</v>
      </c>
      <c r="K560" s="9" t="s">
        <v>2998</v>
      </c>
      <c r="L560" s="9" t="s">
        <v>3082</v>
      </c>
      <c r="M560" s="9" t="s">
        <v>2897</v>
      </c>
      <c r="N560" s="9" t="s">
        <v>2897</v>
      </c>
      <c r="O560" s="9" t="s">
        <v>113</v>
      </c>
      <c r="P560" s="9">
        <v>1</v>
      </c>
      <c r="Q560" s="9"/>
      <c r="R560" s="9"/>
      <c r="S560" s="9" t="s">
        <v>2898</v>
      </c>
    </row>
    <row r="561" spans="1:19">
      <c r="A561" s="9" t="s">
        <v>66</v>
      </c>
      <c r="B561" s="9" t="s">
        <v>2891</v>
      </c>
      <c r="C561" s="9" t="s">
        <v>68</v>
      </c>
      <c r="D561" s="9" t="s">
        <v>3083</v>
      </c>
      <c r="E561" s="9" t="s">
        <v>3084</v>
      </c>
      <c r="F561" s="9" t="s">
        <v>2968</v>
      </c>
      <c r="G561" s="9" t="s">
        <v>3084</v>
      </c>
      <c r="H561" s="9" t="s">
        <v>820</v>
      </c>
      <c r="I561" s="9">
        <v>2023</v>
      </c>
      <c r="J561" s="9" t="s">
        <v>130</v>
      </c>
      <c r="K561" s="9" t="s">
        <v>3085</v>
      </c>
      <c r="L561" s="9" t="s">
        <v>3086</v>
      </c>
      <c r="M561" s="9" t="s">
        <v>2897</v>
      </c>
      <c r="N561" s="9" t="s">
        <v>2897</v>
      </c>
      <c r="O561" s="9" t="s">
        <v>113</v>
      </c>
      <c r="P561" s="9">
        <v>1</v>
      </c>
      <c r="Q561" s="9"/>
      <c r="R561" s="9"/>
      <c r="S561" s="9" t="s">
        <v>2898</v>
      </c>
    </row>
    <row r="562" spans="1:19">
      <c r="A562" s="9" t="s">
        <v>66</v>
      </c>
      <c r="B562" s="9" t="s">
        <v>2891</v>
      </c>
      <c r="C562" s="9" t="s">
        <v>68</v>
      </c>
      <c r="D562" s="9" t="s">
        <v>3087</v>
      </c>
      <c r="E562" s="9" t="s">
        <v>3088</v>
      </c>
      <c r="F562" s="9" t="s">
        <v>2402</v>
      </c>
      <c r="G562" s="9" t="s">
        <v>3088</v>
      </c>
      <c r="H562" s="9" t="s">
        <v>1565</v>
      </c>
      <c r="I562" s="9">
        <v>2025</v>
      </c>
      <c r="J562" s="9" t="s">
        <v>130</v>
      </c>
      <c r="K562" s="9" t="s">
        <v>3089</v>
      </c>
      <c r="L562" s="9" t="s">
        <v>3090</v>
      </c>
      <c r="M562" s="9" t="s">
        <v>2908</v>
      </c>
      <c r="N562" s="9" t="s">
        <v>2908</v>
      </c>
      <c r="O562" s="9" t="s">
        <v>113</v>
      </c>
      <c r="P562" s="9">
        <v>1</v>
      </c>
      <c r="Q562" s="9"/>
      <c r="R562" s="9"/>
      <c r="S562" s="9" t="s">
        <v>2898</v>
      </c>
    </row>
    <row r="563" spans="1:19">
      <c r="A563" s="9" t="s">
        <v>66</v>
      </c>
      <c r="B563" s="9" t="s">
        <v>2891</v>
      </c>
      <c r="C563" s="9" t="s">
        <v>68</v>
      </c>
      <c r="D563" s="9" t="s">
        <v>3091</v>
      </c>
      <c r="E563" s="9" t="s">
        <v>3092</v>
      </c>
      <c r="F563" s="9" t="s">
        <v>3038</v>
      </c>
      <c r="G563" s="9" t="s">
        <v>3092</v>
      </c>
      <c r="H563" s="9" t="s">
        <v>1565</v>
      </c>
      <c r="I563" s="9">
        <v>2025</v>
      </c>
      <c r="J563" s="9" t="s">
        <v>130</v>
      </c>
      <c r="K563" s="9" t="s">
        <v>3093</v>
      </c>
      <c r="L563" s="9" t="s">
        <v>3094</v>
      </c>
      <c r="M563" s="9" t="s">
        <v>2908</v>
      </c>
      <c r="N563" s="9" t="s">
        <v>2908</v>
      </c>
      <c r="O563" s="9" t="s">
        <v>113</v>
      </c>
      <c r="P563" s="9">
        <v>1</v>
      </c>
      <c r="Q563" s="9"/>
      <c r="R563" s="9"/>
      <c r="S563" s="9" t="s">
        <v>2898</v>
      </c>
    </row>
    <row r="564" spans="1:19">
      <c r="A564" s="9" t="s">
        <v>66</v>
      </c>
      <c r="B564" s="9" t="s">
        <v>2891</v>
      </c>
      <c r="C564" s="9" t="s">
        <v>68</v>
      </c>
      <c r="D564" s="9" t="s">
        <v>3095</v>
      </c>
      <c r="E564" s="9" t="s">
        <v>3096</v>
      </c>
      <c r="F564" s="9" t="s">
        <v>2905</v>
      </c>
      <c r="G564" s="9" t="s">
        <v>3096</v>
      </c>
      <c r="H564" s="9" t="s">
        <v>1565</v>
      </c>
      <c r="I564" s="9">
        <v>2025</v>
      </c>
      <c r="J564" s="9" t="s">
        <v>130</v>
      </c>
      <c r="K564" s="9" t="s">
        <v>3097</v>
      </c>
      <c r="L564" s="9" t="s">
        <v>3098</v>
      </c>
      <c r="M564" s="9" t="s">
        <v>2908</v>
      </c>
      <c r="N564" s="9" t="s">
        <v>2908</v>
      </c>
      <c r="O564" s="9" t="s">
        <v>113</v>
      </c>
      <c r="P564" s="9">
        <v>1</v>
      </c>
      <c r="Q564" s="9"/>
      <c r="R564" s="9"/>
      <c r="S564" s="9" t="s">
        <v>2898</v>
      </c>
    </row>
    <row r="565" spans="1:19">
      <c r="A565" s="9" t="s">
        <v>66</v>
      </c>
      <c r="B565" s="9" t="s">
        <v>2891</v>
      </c>
      <c r="C565" s="9" t="s">
        <v>68</v>
      </c>
      <c r="D565" s="9" t="s">
        <v>3099</v>
      </c>
      <c r="E565" s="9" t="s">
        <v>3100</v>
      </c>
      <c r="F565" s="9" t="s">
        <v>3101</v>
      </c>
      <c r="G565" s="9" t="s">
        <v>3102</v>
      </c>
      <c r="H565" s="9" t="s">
        <v>727</v>
      </c>
      <c r="I565" s="9">
        <v>2023</v>
      </c>
      <c r="J565" s="9" t="s">
        <v>158</v>
      </c>
      <c r="K565" s="9" t="s">
        <v>2913</v>
      </c>
      <c r="L565" s="9" t="s">
        <v>3103</v>
      </c>
      <c r="M565" s="9" t="s">
        <v>2897</v>
      </c>
      <c r="N565" s="9" t="s">
        <v>2897</v>
      </c>
      <c r="O565" s="9" t="s">
        <v>113</v>
      </c>
      <c r="P565" s="9">
        <v>1</v>
      </c>
      <c r="Q565" s="9"/>
      <c r="R565" s="9"/>
      <c r="S565" s="9" t="s">
        <v>2898</v>
      </c>
    </row>
    <row r="566" spans="1:19">
      <c r="A566" s="9" t="s">
        <v>66</v>
      </c>
      <c r="B566" s="9" t="s">
        <v>2891</v>
      </c>
      <c r="C566" s="9" t="s">
        <v>68</v>
      </c>
      <c r="D566" s="9" t="s">
        <v>3104</v>
      </c>
      <c r="E566" s="9" t="s">
        <v>3105</v>
      </c>
      <c r="F566" s="9" t="s">
        <v>2517</v>
      </c>
      <c r="G566" s="9" t="s">
        <v>3105</v>
      </c>
      <c r="H566" s="9" t="s">
        <v>1134</v>
      </c>
      <c r="I566" s="9">
        <v>2025</v>
      </c>
      <c r="J566" s="9" t="s">
        <v>130</v>
      </c>
      <c r="K566" s="9" t="s">
        <v>3106</v>
      </c>
      <c r="L566" s="9" t="s">
        <v>3107</v>
      </c>
      <c r="M566" s="9" t="s">
        <v>2908</v>
      </c>
      <c r="N566" s="9" t="s">
        <v>2908</v>
      </c>
      <c r="O566" s="9" t="s">
        <v>113</v>
      </c>
      <c r="P566" s="9">
        <v>1</v>
      </c>
      <c r="Q566" s="9"/>
      <c r="R566" s="9"/>
      <c r="S566" s="9" t="s">
        <v>2898</v>
      </c>
    </row>
    <row r="567" spans="1:19">
      <c r="A567" s="9" t="s">
        <v>66</v>
      </c>
      <c r="B567" s="9" t="s">
        <v>2891</v>
      </c>
      <c r="C567" s="9" t="s">
        <v>68</v>
      </c>
      <c r="D567" s="9" t="s">
        <v>3108</v>
      </c>
      <c r="E567" s="9" t="s">
        <v>3109</v>
      </c>
      <c r="F567" s="9" t="s">
        <v>2402</v>
      </c>
      <c r="G567" s="9" t="s">
        <v>3109</v>
      </c>
      <c r="H567" s="9" t="s">
        <v>1565</v>
      </c>
      <c r="I567" s="9">
        <v>2025</v>
      </c>
      <c r="J567" s="9" t="s">
        <v>130</v>
      </c>
      <c r="K567" s="9" t="s">
        <v>3110</v>
      </c>
      <c r="L567" s="9" t="s">
        <v>3111</v>
      </c>
      <c r="M567" s="9" t="s">
        <v>2908</v>
      </c>
      <c r="N567" s="9" t="s">
        <v>2908</v>
      </c>
      <c r="O567" s="9" t="s">
        <v>113</v>
      </c>
      <c r="P567" s="9">
        <v>1</v>
      </c>
      <c r="Q567" s="9"/>
      <c r="R567" s="9"/>
      <c r="S567" s="9" t="s">
        <v>2898</v>
      </c>
    </row>
    <row r="568" spans="1:19">
      <c r="A568" s="9" t="s">
        <v>66</v>
      </c>
      <c r="B568" s="9" t="s">
        <v>2891</v>
      </c>
      <c r="C568" s="9" t="s">
        <v>68</v>
      </c>
      <c r="D568" s="9" t="s">
        <v>3112</v>
      </c>
      <c r="E568" s="9" t="s">
        <v>3113</v>
      </c>
      <c r="F568" s="9" t="s">
        <v>2946</v>
      </c>
      <c r="G568" s="9" t="s">
        <v>3114</v>
      </c>
      <c r="H568" s="9" t="s">
        <v>2948</v>
      </c>
      <c r="I568" s="9">
        <v>2023</v>
      </c>
      <c r="J568" s="9" t="s">
        <v>158</v>
      </c>
      <c r="K568" s="9" t="s">
        <v>3115</v>
      </c>
      <c r="L568" s="9" t="s">
        <v>3116</v>
      </c>
      <c r="M568" s="9" t="s">
        <v>2897</v>
      </c>
      <c r="N568" s="9" t="s">
        <v>2897</v>
      </c>
      <c r="O568" s="9" t="s">
        <v>113</v>
      </c>
      <c r="P568" s="9">
        <v>1</v>
      </c>
      <c r="Q568" s="9"/>
      <c r="R568" s="9"/>
      <c r="S568" s="9" t="s">
        <v>2898</v>
      </c>
    </row>
    <row r="569" spans="1:19">
      <c r="A569" s="9" t="s">
        <v>66</v>
      </c>
      <c r="B569" s="9" t="s">
        <v>2891</v>
      </c>
      <c r="C569" s="9" t="s">
        <v>68</v>
      </c>
      <c r="D569" s="9" t="s">
        <v>3117</v>
      </c>
      <c r="E569" s="9" t="s">
        <v>3118</v>
      </c>
      <c r="F569" s="9" t="s">
        <v>2977</v>
      </c>
      <c r="G569" s="9" t="s">
        <v>3118</v>
      </c>
      <c r="H569" s="9" t="s">
        <v>279</v>
      </c>
      <c r="I569" s="9">
        <v>2022</v>
      </c>
      <c r="J569" s="9" t="s">
        <v>130</v>
      </c>
      <c r="K569" s="9" t="s">
        <v>3119</v>
      </c>
      <c r="L569" s="9" t="s">
        <v>3120</v>
      </c>
      <c r="M569" s="9" t="s">
        <v>2897</v>
      </c>
      <c r="N569" s="9" t="s">
        <v>2897</v>
      </c>
      <c r="O569" s="9" t="s">
        <v>113</v>
      </c>
      <c r="P569" s="9">
        <v>1</v>
      </c>
      <c r="Q569" s="9"/>
      <c r="R569" s="9"/>
      <c r="S569" s="9" t="s">
        <v>2898</v>
      </c>
    </row>
    <row r="570" spans="1:19">
      <c r="A570" s="9" t="s">
        <v>66</v>
      </c>
      <c r="B570" s="9" t="s">
        <v>2891</v>
      </c>
      <c r="C570" s="9" t="s">
        <v>68</v>
      </c>
      <c r="D570" s="9" t="s">
        <v>3121</v>
      </c>
      <c r="E570" s="9" t="s">
        <v>3122</v>
      </c>
      <c r="F570" s="9" t="s">
        <v>2894</v>
      </c>
      <c r="G570" s="9" t="s">
        <v>3122</v>
      </c>
      <c r="H570" s="9" t="s">
        <v>509</v>
      </c>
      <c r="I570" s="9">
        <v>2023</v>
      </c>
      <c r="J570" s="9" t="s">
        <v>130</v>
      </c>
      <c r="K570" s="9" t="s">
        <v>3115</v>
      </c>
      <c r="L570" s="9" t="s">
        <v>3123</v>
      </c>
      <c r="M570" s="9" t="s">
        <v>2897</v>
      </c>
      <c r="N570" s="9" t="s">
        <v>2897</v>
      </c>
      <c r="O570" s="9" t="s">
        <v>113</v>
      </c>
      <c r="P570" s="9">
        <v>1</v>
      </c>
      <c r="Q570" s="9"/>
      <c r="R570" s="9"/>
      <c r="S570" s="9" t="s">
        <v>2898</v>
      </c>
    </row>
    <row r="571" spans="1:19">
      <c r="A571" s="9" t="s">
        <v>66</v>
      </c>
      <c r="B571" s="9" t="s">
        <v>2891</v>
      </c>
      <c r="C571" s="9" t="s">
        <v>68</v>
      </c>
      <c r="D571" s="9" t="s">
        <v>3124</v>
      </c>
      <c r="E571" s="9" t="s">
        <v>3125</v>
      </c>
      <c r="F571" s="9" t="s">
        <v>1810</v>
      </c>
      <c r="G571" s="9" t="s">
        <v>3125</v>
      </c>
      <c r="H571" s="9" t="s">
        <v>840</v>
      </c>
      <c r="I571" s="9">
        <v>2023</v>
      </c>
      <c r="J571" s="9" t="s">
        <v>130</v>
      </c>
      <c r="K571" s="9" t="s">
        <v>3126</v>
      </c>
      <c r="L571" s="9" t="s">
        <v>2914</v>
      </c>
      <c r="M571" s="9" t="s">
        <v>2897</v>
      </c>
      <c r="N571" s="9" t="s">
        <v>2897</v>
      </c>
      <c r="O571" s="9" t="s">
        <v>113</v>
      </c>
      <c r="P571" s="9">
        <v>1</v>
      </c>
      <c r="Q571" s="9"/>
      <c r="R571" s="9"/>
      <c r="S571" s="9" t="s">
        <v>2898</v>
      </c>
    </row>
    <row r="572" spans="1:19">
      <c r="A572" s="9" t="s">
        <v>66</v>
      </c>
      <c r="B572" s="9" t="s">
        <v>2891</v>
      </c>
      <c r="C572" s="9" t="s">
        <v>68</v>
      </c>
      <c r="D572" s="9" t="s">
        <v>3127</v>
      </c>
      <c r="E572" s="9" t="s">
        <v>3128</v>
      </c>
      <c r="F572" s="9" t="s">
        <v>2985</v>
      </c>
      <c r="G572" s="9" t="s">
        <v>3129</v>
      </c>
      <c r="H572" s="9" t="s">
        <v>2948</v>
      </c>
      <c r="I572" s="9">
        <v>2023</v>
      </c>
      <c r="J572" s="9" t="s">
        <v>158</v>
      </c>
      <c r="K572" s="9" t="s">
        <v>2895</v>
      </c>
      <c r="L572" s="9" t="s">
        <v>3130</v>
      </c>
      <c r="M572" s="9" t="s">
        <v>2897</v>
      </c>
      <c r="N572" s="9" t="s">
        <v>2897</v>
      </c>
      <c r="O572" s="9" t="s">
        <v>113</v>
      </c>
      <c r="P572" s="9">
        <v>1</v>
      </c>
      <c r="Q572" s="9"/>
      <c r="R572" s="9"/>
      <c r="S572" s="9" t="s">
        <v>2898</v>
      </c>
    </row>
    <row r="573" spans="1:19">
      <c r="A573" s="9" t="s">
        <v>66</v>
      </c>
      <c r="B573" s="9" t="s">
        <v>2891</v>
      </c>
      <c r="C573" s="9" t="s">
        <v>68</v>
      </c>
      <c r="D573" s="9" t="s">
        <v>3131</v>
      </c>
      <c r="E573" s="9" t="s">
        <v>3132</v>
      </c>
      <c r="F573" s="9" t="s">
        <v>2917</v>
      </c>
      <c r="G573" s="9" t="s">
        <v>3132</v>
      </c>
      <c r="H573" s="9" t="s">
        <v>3133</v>
      </c>
      <c r="I573" s="9">
        <v>2023</v>
      </c>
      <c r="J573" s="9" t="s">
        <v>130</v>
      </c>
      <c r="K573" s="9" t="s">
        <v>3134</v>
      </c>
      <c r="L573" s="9" t="s">
        <v>2914</v>
      </c>
      <c r="M573" s="9" t="s">
        <v>2897</v>
      </c>
      <c r="N573" s="9" t="s">
        <v>2897</v>
      </c>
      <c r="O573" s="9" t="s">
        <v>113</v>
      </c>
      <c r="P573" s="9">
        <v>1</v>
      </c>
      <c r="Q573" s="9"/>
      <c r="R573" s="9"/>
      <c r="S573" s="9" t="s">
        <v>2898</v>
      </c>
    </row>
    <row r="574" spans="1:19">
      <c r="A574" s="9" t="s">
        <v>66</v>
      </c>
      <c r="B574" s="9" t="s">
        <v>2891</v>
      </c>
      <c r="C574" s="9" t="s">
        <v>68</v>
      </c>
      <c r="D574" s="9" t="s">
        <v>3135</v>
      </c>
      <c r="E574" s="9" t="s">
        <v>3136</v>
      </c>
      <c r="F574" s="9" t="s">
        <v>3101</v>
      </c>
      <c r="G574" s="9" t="s">
        <v>3137</v>
      </c>
      <c r="H574" s="9" t="s">
        <v>2948</v>
      </c>
      <c r="I574" s="9">
        <v>2023</v>
      </c>
      <c r="J574" s="9" t="s">
        <v>158</v>
      </c>
      <c r="K574" s="9" t="s">
        <v>2964</v>
      </c>
      <c r="L574" s="9" t="s">
        <v>3138</v>
      </c>
      <c r="M574" s="9" t="s">
        <v>2897</v>
      </c>
      <c r="N574" s="9" t="s">
        <v>2897</v>
      </c>
      <c r="O574" s="9" t="s">
        <v>113</v>
      </c>
      <c r="P574" s="9">
        <v>1</v>
      </c>
      <c r="Q574" s="9"/>
      <c r="R574" s="9"/>
      <c r="S574" s="9" t="s">
        <v>2898</v>
      </c>
    </row>
    <row r="575" spans="1:19">
      <c r="A575" s="9" t="s">
        <v>66</v>
      </c>
      <c r="B575" s="9" t="s">
        <v>2891</v>
      </c>
      <c r="C575" s="9" t="s">
        <v>68</v>
      </c>
      <c r="D575" s="9" t="s">
        <v>3139</v>
      </c>
      <c r="E575" s="9" t="s">
        <v>3140</v>
      </c>
      <c r="F575" s="9" t="s">
        <v>2921</v>
      </c>
      <c r="G575" s="9" t="s">
        <v>3140</v>
      </c>
      <c r="H575" s="9" t="s">
        <v>836</v>
      </c>
      <c r="I575" s="9">
        <v>2023</v>
      </c>
      <c r="J575" s="9" t="s">
        <v>130</v>
      </c>
      <c r="K575" s="9" t="s">
        <v>3141</v>
      </c>
      <c r="L575" s="9" t="s">
        <v>3142</v>
      </c>
      <c r="M575" s="9" t="s">
        <v>2897</v>
      </c>
      <c r="N575" s="9" t="s">
        <v>2897</v>
      </c>
      <c r="O575" s="9" t="s">
        <v>113</v>
      </c>
      <c r="P575" s="9">
        <v>1</v>
      </c>
      <c r="Q575" s="9"/>
      <c r="R575" s="9"/>
      <c r="S575" s="9" t="s">
        <v>2898</v>
      </c>
    </row>
    <row r="576" spans="1:19">
      <c r="A576" s="9" t="s">
        <v>66</v>
      </c>
      <c r="B576" s="9" t="s">
        <v>2891</v>
      </c>
      <c r="C576" s="9" t="s">
        <v>68</v>
      </c>
      <c r="D576" s="9" t="s">
        <v>3143</v>
      </c>
      <c r="E576" s="9" t="s">
        <v>3144</v>
      </c>
      <c r="F576" s="9" t="s">
        <v>2985</v>
      </c>
      <c r="G576" s="9" t="s">
        <v>3145</v>
      </c>
      <c r="H576" s="9" t="s">
        <v>2948</v>
      </c>
      <c r="I576" s="9">
        <v>2023</v>
      </c>
      <c r="J576" s="9" t="s">
        <v>158</v>
      </c>
      <c r="K576" s="9" t="s">
        <v>3052</v>
      </c>
      <c r="L576" s="9" t="s">
        <v>3146</v>
      </c>
      <c r="M576" s="9" t="s">
        <v>2897</v>
      </c>
      <c r="N576" s="9" t="s">
        <v>2897</v>
      </c>
      <c r="O576" s="9" t="s">
        <v>113</v>
      </c>
      <c r="P576" s="9">
        <v>1</v>
      </c>
      <c r="Q576" s="9"/>
      <c r="R576" s="9"/>
      <c r="S576" s="9" t="s">
        <v>2898</v>
      </c>
    </row>
    <row r="577" spans="1:19">
      <c r="A577" s="9" t="s">
        <v>66</v>
      </c>
      <c r="B577" s="9" t="s">
        <v>2891</v>
      </c>
      <c r="C577" s="9" t="s">
        <v>68</v>
      </c>
      <c r="D577" s="9" t="s">
        <v>3147</v>
      </c>
      <c r="E577" s="9" t="s">
        <v>3148</v>
      </c>
      <c r="F577" s="9" t="s">
        <v>2905</v>
      </c>
      <c r="G577" s="9" t="s">
        <v>3148</v>
      </c>
      <c r="H577" s="9" t="s">
        <v>1565</v>
      </c>
      <c r="I577" s="9">
        <v>2025</v>
      </c>
      <c r="J577" s="9" t="s">
        <v>130</v>
      </c>
      <c r="K577" s="9" t="s">
        <v>3149</v>
      </c>
      <c r="L577" s="9" t="s">
        <v>3150</v>
      </c>
      <c r="M577" s="9" t="s">
        <v>2908</v>
      </c>
      <c r="N577" s="9" t="s">
        <v>2908</v>
      </c>
      <c r="O577" s="9" t="s">
        <v>113</v>
      </c>
      <c r="P577" s="9">
        <v>1</v>
      </c>
      <c r="Q577" s="9"/>
      <c r="R577" s="9"/>
      <c r="S577" s="9" t="s">
        <v>2898</v>
      </c>
    </row>
    <row r="578" spans="1:19">
      <c r="A578" s="9" t="s">
        <v>66</v>
      </c>
      <c r="B578" s="9" t="s">
        <v>2891</v>
      </c>
      <c r="C578" s="9" t="s">
        <v>68</v>
      </c>
      <c r="D578" s="9" t="s">
        <v>3151</v>
      </c>
      <c r="E578" s="9" t="s">
        <v>3152</v>
      </c>
      <c r="F578" s="9" t="s">
        <v>2927</v>
      </c>
      <c r="G578" s="9" t="s">
        <v>3152</v>
      </c>
      <c r="H578" s="9" t="s">
        <v>1565</v>
      </c>
      <c r="I578" s="9">
        <v>2025</v>
      </c>
      <c r="J578" s="9" t="s">
        <v>130</v>
      </c>
      <c r="K578" s="9" t="s">
        <v>3153</v>
      </c>
      <c r="L578" s="9" t="s">
        <v>3154</v>
      </c>
      <c r="M578" s="9" t="s">
        <v>2908</v>
      </c>
      <c r="N578" s="9" t="s">
        <v>2908</v>
      </c>
      <c r="O578" s="9" t="s">
        <v>113</v>
      </c>
      <c r="P578" s="9">
        <v>1</v>
      </c>
      <c r="Q578" s="9"/>
      <c r="R578" s="9"/>
      <c r="S578" s="9" t="s">
        <v>2898</v>
      </c>
    </row>
    <row r="579" spans="1:19">
      <c r="A579" s="9" t="s">
        <v>66</v>
      </c>
      <c r="B579" s="9" t="s">
        <v>2891</v>
      </c>
      <c r="C579" s="9" t="s">
        <v>68</v>
      </c>
      <c r="D579" s="9" t="s">
        <v>3155</v>
      </c>
      <c r="E579" s="9" t="s">
        <v>3156</v>
      </c>
      <c r="F579" s="9" t="s">
        <v>2894</v>
      </c>
      <c r="G579" s="9" t="s">
        <v>3156</v>
      </c>
      <c r="H579" s="9" t="s">
        <v>493</v>
      </c>
      <c r="I579" s="9">
        <v>2023</v>
      </c>
      <c r="J579" s="9" t="s">
        <v>130</v>
      </c>
      <c r="K579" s="9" t="s">
        <v>3073</v>
      </c>
      <c r="L579" s="9" t="s">
        <v>3157</v>
      </c>
      <c r="M579" s="9" t="s">
        <v>2897</v>
      </c>
      <c r="N579" s="9" t="s">
        <v>2897</v>
      </c>
      <c r="O579" s="9" t="s">
        <v>113</v>
      </c>
      <c r="P579" s="9">
        <v>1</v>
      </c>
      <c r="Q579" s="9"/>
      <c r="R579" s="9"/>
      <c r="S579" s="9" t="s">
        <v>2898</v>
      </c>
    </row>
    <row r="580" spans="1:19">
      <c r="A580" s="9" t="s">
        <v>66</v>
      </c>
      <c r="B580" s="9" t="s">
        <v>2891</v>
      </c>
      <c r="C580" s="9" t="s">
        <v>68</v>
      </c>
      <c r="D580" s="9" t="s">
        <v>3158</v>
      </c>
      <c r="E580" s="9" t="s">
        <v>3159</v>
      </c>
      <c r="F580" s="9" t="s">
        <v>2917</v>
      </c>
      <c r="G580" s="9" t="s">
        <v>3159</v>
      </c>
      <c r="H580" s="9" t="s">
        <v>3133</v>
      </c>
      <c r="I580" s="9">
        <v>2023</v>
      </c>
      <c r="J580" s="9" t="s">
        <v>130</v>
      </c>
      <c r="K580" s="9" t="s">
        <v>3160</v>
      </c>
      <c r="L580" s="9" t="s">
        <v>2914</v>
      </c>
      <c r="M580" s="9" t="s">
        <v>2897</v>
      </c>
      <c r="N580" s="9" t="s">
        <v>2897</v>
      </c>
      <c r="O580" s="9" t="s">
        <v>113</v>
      </c>
      <c r="P580" s="9">
        <v>1</v>
      </c>
      <c r="Q580" s="9"/>
      <c r="R580" s="9"/>
      <c r="S580" s="9" t="s">
        <v>2898</v>
      </c>
    </row>
    <row r="581" spans="1:19">
      <c r="A581" s="9" t="s">
        <v>66</v>
      </c>
      <c r="B581" s="9" t="s">
        <v>2891</v>
      </c>
      <c r="C581" s="9" t="s">
        <v>68</v>
      </c>
      <c r="D581" s="9" t="s">
        <v>3161</v>
      </c>
      <c r="E581" s="9" t="s">
        <v>3162</v>
      </c>
      <c r="F581" s="9" t="s">
        <v>2927</v>
      </c>
      <c r="G581" s="9" t="s">
        <v>3162</v>
      </c>
      <c r="H581" s="9" t="s">
        <v>1565</v>
      </c>
      <c r="I581" s="9">
        <v>2025</v>
      </c>
      <c r="J581" s="9" t="s">
        <v>130</v>
      </c>
      <c r="K581" s="9" t="s">
        <v>3163</v>
      </c>
      <c r="L581" s="9" t="s">
        <v>3164</v>
      </c>
      <c r="M581" s="9" t="s">
        <v>2908</v>
      </c>
      <c r="N581" s="9" t="s">
        <v>2908</v>
      </c>
      <c r="O581" s="9" t="s">
        <v>113</v>
      </c>
      <c r="P581" s="9">
        <v>1</v>
      </c>
      <c r="Q581" s="9"/>
      <c r="R581" s="9"/>
      <c r="S581" s="9" t="s">
        <v>2898</v>
      </c>
    </row>
    <row r="582" spans="1:19">
      <c r="A582" s="9" t="s">
        <v>66</v>
      </c>
      <c r="B582" s="9" t="s">
        <v>2891</v>
      </c>
      <c r="C582" s="9" t="s">
        <v>68</v>
      </c>
      <c r="D582" s="9" t="s">
        <v>3165</v>
      </c>
      <c r="E582" s="9" t="s">
        <v>3166</v>
      </c>
      <c r="F582" s="9" t="s">
        <v>3167</v>
      </c>
      <c r="G582" s="9" t="s">
        <v>3166</v>
      </c>
      <c r="H582" s="9" t="s">
        <v>387</v>
      </c>
      <c r="I582" s="9">
        <v>2022</v>
      </c>
      <c r="J582" s="9" t="s">
        <v>130</v>
      </c>
      <c r="K582" s="9" t="s">
        <v>3168</v>
      </c>
      <c r="L582" s="9" t="s">
        <v>3169</v>
      </c>
      <c r="M582" s="9" t="s">
        <v>2897</v>
      </c>
      <c r="N582" s="9" t="s">
        <v>2897</v>
      </c>
      <c r="O582" s="9" t="s">
        <v>113</v>
      </c>
      <c r="P582" s="9">
        <v>1</v>
      </c>
      <c r="Q582" s="9"/>
      <c r="R582" s="9"/>
      <c r="S582" s="9" t="s">
        <v>2898</v>
      </c>
    </row>
    <row r="583" spans="1:19">
      <c r="A583" s="9" t="s">
        <v>66</v>
      </c>
      <c r="B583" s="9" t="s">
        <v>2891</v>
      </c>
      <c r="C583" s="9" t="s">
        <v>68</v>
      </c>
      <c r="D583" s="9" t="s">
        <v>3170</v>
      </c>
      <c r="E583" s="9" t="s">
        <v>3171</v>
      </c>
      <c r="F583" s="9" t="s">
        <v>1810</v>
      </c>
      <c r="G583" s="9" t="s">
        <v>3171</v>
      </c>
      <c r="H583" s="9" t="s">
        <v>840</v>
      </c>
      <c r="I583" s="9">
        <v>2023</v>
      </c>
      <c r="J583" s="9" t="s">
        <v>130</v>
      </c>
      <c r="K583" s="9" t="s">
        <v>3172</v>
      </c>
      <c r="L583" s="9" t="s">
        <v>3173</v>
      </c>
      <c r="M583" s="9" t="s">
        <v>2897</v>
      </c>
      <c r="N583" s="9" t="s">
        <v>2897</v>
      </c>
      <c r="O583" s="9" t="s">
        <v>113</v>
      </c>
      <c r="P583" s="9">
        <v>1</v>
      </c>
      <c r="Q583" s="9"/>
      <c r="R583" s="9"/>
      <c r="S583" s="9" t="s">
        <v>2898</v>
      </c>
    </row>
    <row r="584" spans="1:19">
      <c r="A584" s="9" t="s">
        <v>66</v>
      </c>
      <c r="B584" s="9" t="s">
        <v>2891</v>
      </c>
      <c r="C584" s="9" t="s">
        <v>68</v>
      </c>
      <c r="D584" s="9" t="s">
        <v>3174</v>
      </c>
      <c r="E584" s="9" t="s">
        <v>3175</v>
      </c>
      <c r="F584" s="9" t="s">
        <v>3047</v>
      </c>
      <c r="G584" s="9" t="s">
        <v>3175</v>
      </c>
      <c r="H584" s="9" t="s">
        <v>1565</v>
      </c>
      <c r="I584" s="9">
        <v>2025</v>
      </c>
      <c r="J584" s="9" t="s">
        <v>130</v>
      </c>
      <c r="K584" s="9" t="s">
        <v>3176</v>
      </c>
      <c r="L584" s="9" t="s">
        <v>3177</v>
      </c>
      <c r="M584" s="9" t="s">
        <v>2908</v>
      </c>
      <c r="N584" s="9" t="s">
        <v>2908</v>
      </c>
      <c r="O584" s="9" t="s">
        <v>113</v>
      </c>
      <c r="P584" s="9">
        <v>1</v>
      </c>
      <c r="Q584" s="9"/>
      <c r="R584" s="9"/>
      <c r="S584" s="9" t="s">
        <v>2898</v>
      </c>
    </row>
    <row r="585" spans="1:19">
      <c r="A585" s="9" t="s">
        <v>66</v>
      </c>
      <c r="B585" s="9" t="s">
        <v>2891</v>
      </c>
      <c r="C585" s="9" t="s">
        <v>68</v>
      </c>
      <c r="D585" s="9" t="s">
        <v>3178</v>
      </c>
      <c r="E585" s="9" t="s">
        <v>3179</v>
      </c>
      <c r="F585" s="9" t="s">
        <v>3047</v>
      </c>
      <c r="G585" s="9" t="s">
        <v>3179</v>
      </c>
      <c r="H585" s="9" t="s">
        <v>1565</v>
      </c>
      <c r="I585" s="9">
        <v>2025</v>
      </c>
      <c r="J585" s="9" t="s">
        <v>130</v>
      </c>
      <c r="K585" s="9" t="s">
        <v>3034</v>
      </c>
      <c r="L585" s="9" t="s">
        <v>3180</v>
      </c>
      <c r="M585" s="9" t="s">
        <v>2908</v>
      </c>
      <c r="N585" s="9" t="s">
        <v>2908</v>
      </c>
      <c r="O585" s="9" t="s">
        <v>113</v>
      </c>
      <c r="P585" s="9">
        <v>1</v>
      </c>
      <c r="Q585" s="9"/>
      <c r="R585" s="9"/>
      <c r="S585" s="9" t="s">
        <v>2898</v>
      </c>
    </row>
    <row r="586" spans="1:19">
      <c r="A586" s="9" t="s">
        <v>69</v>
      </c>
      <c r="B586" s="9" t="s">
        <v>3181</v>
      </c>
      <c r="C586" s="9" t="s">
        <v>70</v>
      </c>
      <c r="D586" s="9" t="s">
        <v>3182</v>
      </c>
      <c r="E586" s="9" t="s">
        <v>3183</v>
      </c>
      <c r="F586" s="9" t="s">
        <v>3184</v>
      </c>
      <c r="G586" s="9" t="s">
        <v>3183</v>
      </c>
      <c r="H586" s="9" t="s">
        <v>3185</v>
      </c>
      <c r="I586" s="9">
        <v>2021</v>
      </c>
      <c r="J586" s="9" t="s">
        <v>130</v>
      </c>
      <c r="K586" s="9" t="s">
        <v>3186</v>
      </c>
      <c r="L586" s="9" t="s">
        <v>3187</v>
      </c>
      <c r="M586" s="9" t="s">
        <v>3188</v>
      </c>
      <c r="N586" s="9" t="s">
        <v>3188</v>
      </c>
      <c r="O586" s="9" t="s">
        <v>113</v>
      </c>
      <c r="P586" s="9">
        <v>1</v>
      </c>
      <c r="Q586" s="9"/>
      <c r="R586" s="9"/>
      <c r="S586" s="9" t="s">
        <v>3189</v>
      </c>
    </row>
    <row r="587" spans="1:19">
      <c r="A587" s="9" t="s">
        <v>71</v>
      </c>
      <c r="B587" s="9" t="s">
        <v>3190</v>
      </c>
      <c r="C587" s="9" t="s">
        <v>73</v>
      </c>
      <c r="D587" s="9" t="s">
        <v>3191</v>
      </c>
      <c r="E587" s="9" t="s">
        <v>3192</v>
      </c>
      <c r="F587" s="9" t="s">
        <v>3193</v>
      </c>
      <c r="G587" s="9" t="s">
        <v>3194</v>
      </c>
      <c r="H587" s="9" t="s">
        <v>3195</v>
      </c>
      <c r="I587" s="9">
        <v>2018</v>
      </c>
      <c r="J587" s="9" t="s">
        <v>158</v>
      </c>
      <c r="K587" s="9" t="s">
        <v>3196</v>
      </c>
      <c r="L587" s="9" t="s">
        <v>3197</v>
      </c>
      <c r="M587" s="9" t="s">
        <v>3198</v>
      </c>
      <c r="N587" s="9" t="s">
        <v>3198</v>
      </c>
      <c r="O587" s="9" t="s">
        <v>113</v>
      </c>
      <c r="P587" s="9">
        <v>1</v>
      </c>
      <c r="Q587" s="9"/>
      <c r="R587" s="9"/>
      <c r="S587" s="9" t="s">
        <v>3199</v>
      </c>
    </row>
    <row r="588" spans="1:19">
      <c r="A588" s="9" t="s">
        <v>71</v>
      </c>
      <c r="B588" s="9" t="s">
        <v>3190</v>
      </c>
      <c r="C588" s="9" t="s">
        <v>73</v>
      </c>
      <c r="D588" s="9" t="s">
        <v>3200</v>
      </c>
      <c r="E588" s="9" t="s">
        <v>3201</v>
      </c>
      <c r="F588" s="9" t="s">
        <v>3202</v>
      </c>
      <c r="G588" s="9" t="s">
        <v>3201</v>
      </c>
      <c r="H588" s="9" t="s">
        <v>1723</v>
      </c>
      <c r="I588" s="9">
        <v>2017</v>
      </c>
      <c r="J588" s="9" t="s">
        <v>130</v>
      </c>
      <c r="K588" s="9" t="s">
        <v>3203</v>
      </c>
      <c r="L588" s="9" t="s">
        <v>3204</v>
      </c>
      <c r="M588" s="9" t="s">
        <v>3198</v>
      </c>
      <c r="N588" s="9" t="s">
        <v>3198</v>
      </c>
      <c r="O588" s="9" t="s">
        <v>113</v>
      </c>
      <c r="P588" s="9">
        <v>1</v>
      </c>
      <c r="Q588" s="9"/>
      <c r="R588" s="9"/>
      <c r="S588" s="9" t="s">
        <v>3199</v>
      </c>
    </row>
    <row r="589" spans="1:19">
      <c r="A589" s="9" t="s">
        <v>71</v>
      </c>
      <c r="B589" s="9" t="s">
        <v>3190</v>
      </c>
      <c r="C589" s="9" t="s">
        <v>73</v>
      </c>
      <c r="D589" s="9" t="s">
        <v>3205</v>
      </c>
      <c r="E589" s="9" t="s">
        <v>3206</v>
      </c>
      <c r="F589" s="9" t="s">
        <v>3207</v>
      </c>
      <c r="G589" s="9" t="s">
        <v>3208</v>
      </c>
      <c r="H589" s="9" t="s">
        <v>3209</v>
      </c>
      <c r="I589" s="9">
        <v>2017</v>
      </c>
      <c r="J589" s="9" t="s">
        <v>158</v>
      </c>
      <c r="K589" s="9" t="s">
        <v>3203</v>
      </c>
      <c r="L589" s="9" t="s">
        <v>3210</v>
      </c>
      <c r="M589" s="9" t="s">
        <v>3198</v>
      </c>
      <c r="N589" s="9" t="s">
        <v>3198</v>
      </c>
      <c r="O589" s="9" t="s">
        <v>113</v>
      </c>
      <c r="P589" s="9">
        <v>1</v>
      </c>
      <c r="Q589" s="9"/>
      <c r="R589" s="9"/>
      <c r="S589" s="9" t="s">
        <v>3199</v>
      </c>
    </row>
    <row r="590" spans="1:19">
      <c r="A590" s="9" t="s">
        <v>71</v>
      </c>
      <c r="B590" s="9" t="s">
        <v>3190</v>
      </c>
      <c r="C590" s="9" t="s">
        <v>73</v>
      </c>
      <c r="D590" s="9" t="s">
        <v>3211</v>
      </c>
      <c r="E590" s="9" t="s">
        <v>3212</v>
      </c>
      <c r="F590" s="9" t="s">
        <v>3202</v>
      </c>
      <c r="G590" s="9" t="s">
        <v>3212</v>
      </c>
      <c r="H590" s="9" t="s">
        <v>1723</v>
      </c>
      <c r="I590" s="9">
        <v>2017</v>
      </c>
      <c r="J590" s="9" t="s">
        <v>130</v>
      </c>
      <c r="K590" s="9" t="s">
        <v>3213</v>
      </c>
      <c r="L590" s="9" t="s">
        <v>3214</v>
      </c>
      <c r="M590" s="9" t="s">
        <v>3198</v>
      </c>
      <c r="N590" s="9" t="s">
        <v>3198</v>
      </c>
      <c r="O590" s="9" t="s">
        <v>113</v>
      </c>
      <c r="P590" s="9">
        <v>1</v>
      </c>
      <c r="Q590" s="9"/>
      <c r="R590" s="9"/>
      <c r="S590" s="9" t="s">
        <v>3199</v>
      </c>
    </row>
    <row r="591" spans="1:19">
      <c r="A591" s="9" t="s">
        <v>71</v>
      </c>
      <c r="B591" s="9" t="s">
        <v>3190</v>
      </c>
      <c r="C591" s="9" t="s">
        <v>73</v>
      </c>
      <c r="D591" s="9" t="s">
        <v>3215</v>
      </c>
      <c r="E591" s="9" t="s">
        <v>3216</v>
      </c>
      <c r="F591" s="9" t="s">
        <v>3207</v>
      </c>
      <c r="G591" s="9" t="s">
        <v>3217</v>
      </c>
      <c r="H591" s="9" t="s">
        <v>3209</v>
      </c>
      <c r="I591" s="9">
        <v>2017</v>
      </c>
      <c r="J591" s="9" t="s">
        <v>158</v>
      </c>
      <c r="K591" s="9" t="s">
        <v>3213</v>
      </c>
      <c r="L591" s="9" t="s">
        <v>3218</v>
      </c>
      <c r="M591" s="9" t="s">
        <v>3198</v>
      </c>
      <c r="N591" s="9" t="s">
        <v>3198</v>
      </c>
      <c r="O591" s="9" t="s">
        <v>113</v>
      </c>
      <c r="P591" s="9">
        <v>1</v>
      </c>
      <c r="Q591" s="9"/>
      <c r="R591" s="9"/>
      <c r="S591" s="9" t="s">
        <v>3199</v>
      </c>
    </row>
    <row r="592" spans="1:19">
      <c r="A592" s="9" t="s">
        <v>71</v>
      </c>
      <c r="B592" s="9" t="s">
        <v>3190</v>
      </c>
      <c r="C592" s="9" t="s">
        <v>73</v>
      </c>
      <c r="D592" s="9" t="s">
        <v>3219</v>
      </c>
      <c r="E592" s="9" t="s">
        <v>3220</v>
      </c>
      <c r="F592" s="9" t="s">
        <v>2074</v>
      </c>
      <c r="G592" s="9" t="s">
        <v>3221</v>
      </c>
      <c r="H592" s="9" t="s">
        <v>3222</v>
      </c>
      <c r="I592" s="9">
        <v>2018</v>
      </c>
      <c r="J592" s="9" t="s">
        <v>158</v>
      </c>
      <c r="K592" s="9" t="s">
        <v>3223</v>
      </c>
      <c r="L592" s="9" t="s">
        <v>3224</v>
      </c>
      <c r="M592" s="9" t="s">
        <v>3198</v>
      </c>
      <c r="N592" s="9" t="s">
        <v>3198</v>
      </c>
      <c r="O592" s="9" t="s">
        <v>113</v>
      </c>
      <c r="P592" s="9">
        <v>1</v>
      </c>
      <c r="Q592" s="9"/>
      <c r="R592" s="9"/>
      <c r="S592" s="9" t="s">
        <v>3199</v>
      </c>
    </row>
    <row r="593" spans="1:19">
      <c r="A593" s="9" t="s">
        <v>71</v>
      </c>
      <c r="B593" s="9" t="s">
        <v>3190</v>
      </c>
      <c r="C593" s="9" t="s">
        <v>73</v>
      </c>
      <c r="D593" s="9" t="s">
        <v>3225</v>
      </c>
      <c r="E593" s="9" t="s">
        <v>3226</v>
      </c>
      <c r="F593" s="9" t="s">
        <v>3227</v>
      </c>
      <c r="G593" s="9" t="s">
        <v>3228</v>
      </c>
      <c r="H593" s="9" t="s">
        <v>3229</v>
      </c>
      <c r="I593" s="9">
        <v>2019</v>
      </c>
      <c r="J593" s="9" t="s">
        <v>158</v>
      </c>
      <c r="K593" s="9" t="s">
        <v>3230</v>
      </c>
      <c r="L593" s="9" t="s">
        <v>3231</v>
      </c>
      <c r="M593" s="9" t="s">
        <v>3198</v>
      </c>
      <c r="N593" s="9" t="s">
        <v>3198</v>
      </c>
      <c r="O593" s="9" t="s">
        <v>113</v>
      </c>
      <c r="P593" s="9">
        <v>1</v>
      </c>
      <c r="Q593" s="9"/>
      <c r="R593" s="9"/>
      <c r="S593" s="9" t="s">
        <v>3199</v>
      </c>
    </row>
    <row r="594" spans="1:19">
      <c r="A594" s="9" t="s">
        <v>71</v>
      </c>
      <c r="B594" s="9" t="s">
        <v>3190</v>
      </c>
      <c r="C594" s="9" t="s">
        <v>73</v>
      </c>
      <c r="D594" s="9" t="s">
        <v>3232</v>
      </c>
      <c r="E594" s="9" t="s">
        <v>3233</v>
      </c>
      <c r="F594" s="9" t="s">
        <v>3234</v>
      </c>
      <c r="G594" s="9" t="s">
        <v>3235</v>
      </c>
      <c r="H594" s="9" t="s">
        <v>3236</v>
      </c>
      <c r="I594" s="9">
        <v>2018</v>
      </c>
      <c r="J594" s="9" t="s">
        <v>109</v>
      </c>
      <c r="K594" s="9" t="s">
        <v>3237</v>
      </c>
      <c r="L594" s="9" t="s">
        <v>3238</v>
      </c>
      <c r="M594" s="9" t="s">
        <v>3198</v>
      </c>
      <c r="N594" s="9" t="s">
        <v>3198</v>
      </c>
      <c r="O594" s="9" t="s">
        <v>113</v>
      </c>
      <c r="P594" s="9">
        <v>1</v>
      </c>
      <c r="Q594" s="9"/>
      <c r="R594" s="9"/>
      <c r="S594" s="9" t="s">
        <v>3199</v>
      </c>
    </row>
    <row r="595" spans="1:19">
      <c r="A595" s="9" t="s">
        <v>71</v>
      </c>
      <c r="B595" s="9" t="s">
        <v>3190</v>
      </c>
      <c r="C595" s="9" t="s">
        <v>73</v>
      </c>
      <c r="D595" s="9" t="s">
        <v>3239</v>
      </c>
      <c r="E595" s="9" t="s">
        <v>3240</v>
      </c>
      <c r="F595" s="9" t="s">
        <v>3241</v>
      </c>
      <c r="G595" s="9" t="s">
        <v>3240</v>
      </c>
      <c r="H595" s="9" t="s">
        <v>3242</v>
      </c>
      <c r="I595" s="9">
        <v>2016</v>
      </c>
      <c r="J595" s="9" t="s">
        <v>130</v>
      </c>
      <c r="K595" s="9" t="s">
        <v>3243</v>
      </c>
      <c r="L595" s="9" t="s">
        <v>3244</v>
      </c>
      <c r="M595" s="9" t="s">
        <v>3198</v>
      </c>
      <c r="N595" s="9" t="s">
        <v>3198</v>
      </c>
      <c r="O595" s="9" t="s">
        <v>113</v>
      </c>
      <c r="P595" s="9">
        <v>1</v>
      </c>
      <c r="Q595" s="9"/>
      <c r="R595" s="9"/>
      <c r="S595" s="9" t="s">
        <v>3199</v>
      </c>
    </row>
    <row r="596" spans="1:19">
      <c r="A596" s="9" t="s">
        <v>71</v>
      </c>
      <c r="B596" s="9" t="s">
        <v>3190</v>
      </c>
      <c r="C596" s="9" t="s">
        <v>73</v>
      </c>
      <c r="D596" s="9" t="s">
        <v>3245</v>
      </c>
      <c r="E596" s="9" t="s">
        <v>3246</v>
      </c>
      <c r="F596" s="9" t="s">
        <v>3234</v>
      </c>
      <c r="G596" s="9" t="s">
        <v>3247</v>
      </c>
      <c r="H596" s="9" t="s">
        <v>3248</v>
      </c>
      <c r="I596" s="9">
        <v>2016</v>
      </c>
      <c r="J596" s="9" t="s">
        <v>158</v>
      </c>
      <c r="K596" s="9" t="s">
        <v>3237</v>
      </c>
      <c r="L596" s="9" t="s">
        <v>3249</v>
      </c>
      <c r="M596" s="9" t="s">
        <v>3198</v>
      </c>
      <c r="N596" s="9" t="s">
        <v>3198</v>
      </c>
      <c r="O596" s="9" t="s">
        <v>113</v>
      </c>
      <c r="P596" s="9">
        <v>1</v>
      </c>
      <c r="Q596" s="9"/>
      <c r="R596" s="9"/>
      <c r="S596" s="9" t="s">
        <v>3199</v>
      </c>
    </row>
    <row r="597" spans="1:19">
      <c r="A597" s="9" t="s">
        <v>71</v>
      </c>
      <c r="B597" s="9" t="s">
        <v>3190</v>
      </c>
      <c r="C597" s="9" t="s">
        <v>73</v>
      </c>
      <c r="D597" s="9" t="s">
        <v>3250</v>
      </c>
      <c r="E597" s="9" t="s">
        <v>3251</v>
      </c>
      <c r="F597" s="9" t="s">
        <v>3252</v>
      </c>
      <c r="G597" s="9" t="s">
        <v>3251</v>
      </c>
      <c r="H597" s="9" t="s">
        <v>1723</v>
      </c>
      <c r="I597" s="9">
        <v>2017</v>
      </c>
      <c r="J597" s="9" t="s">
        <v>130</v>
      </c>
      <c r="K597" s="9" t="s">
        <v>3253</v>
      </c>
      <c r="L597" s="9" t="s">
        <v>3254</v>
      </c>
      <c r="M597" s="9" t="s">
        <v>3198</v>
      </c>
      <c r="N597" s="9" t="s">
        <v>3198</v>
      </c>
      <c r="O597" s="9" t="s">
        <v>113</v>
      </c>
      <c r="P597" s="9">
        <v>1</v>
      </c>
      <c r="Q597" s="9"/>
      <c r="R597" s="9"/>
      <c r="S597" s="9" t="s">
        <v>3199</v>
      </c>
    </row>
    <row r="598" spans="1:19">
      <c r="A598" s="9" t="s">
        <v>71</v>
      </c>
      <c r="B598" s="9" t="s">
        <v>3190</v>
      </c>
      <c r="C598" s="9" t="s">
        <v>73</v>
      </c>
      <c r="D598" s="9" t="s">
        <v>3255</v>
      </c>
      <c r="E598" s="9" t="s">
        <v>3256</v>
      </c>
      <c r="F598" s="9" t="s">
        <v>3257</v>
      </c>
      <c r="G598" s="9" t="s">
        <v>3256</v>
      </c>
      <c r="H598" s="9" t="s">
        <v>3258</v>
      </c>
      <c r="I598" s="9">
        <v>2018</v>
      </c>
      <c r="J598" s="9" t="s">
        <v>130</v>
      </c>
      <c r="K598" s="9" t="s">
        <v>3253</v>
      </c>
      <c r="L598" s="9" t="s">
        <v>3259</v>
      </c>
      <c r="M598" s="9" t="s">
        <v>3198</v>
      </c>
      <c r="N598" s="9" t="s">
        <v>3198</v>
      </c>
      <c r="O598" s="9" t="s">
        <v>113</v>
      </c>
      <c r="P598" s="9">
        <v>1</v>
      </c>
      <c r="Q598" s="9"/>
      <c r="R598" s="9"/>
      <c r="S598" s="9" t="s">
        <v>3199</v>
      </c>
    </row>
    <row r="599" spans="1:19">
      <c r="A599" s="9" t="s">
        <v>71</v>
      </c>
      <c r="B599" s="9" t="s">
        <v>3190</v>
      </c>
      <c r="C599" s="9" t="s">
        <v>73</v>
      </c>
      <c r="D599" s="9" t="s">
        <v>3260</v>
      </c>
      <c r="E599" s="9" t="s">
        <v>3261</v>
      </c>
      <c r="F599" s="9" t="s">
        <v>3262</v>
      </c>
      <c r="G599" s="9" t="s">
        <v>3263</v>
      </c>
      <c r="H599" s="9" t="s">
        <v>3264</v>
      </c>
      <c r="I599" s="9">
        <v>2019</v>
      </c>
      <c r="J599" s="9" t="s">
        <v>109</v>
      </c>
      <c r="K599" s="9" t="s">
        <v>3253</v>
      </c>
      <c r="L599" s="9" t="s">
        <v>3265</v>
      </c>
      <c r="M599" s="9" t="s">
        <v>3198</v>
      </c>
      <c r="N599" s="9" t="s">
        <v>3198</v>
      </c>
      <c r="O599" s="9" t="s">
        <v>113</v>
      </c>
      <c r="P599" s="9">
        <v>1</v>
      </c>
      <c r="Q599" s="9"/>
      <c r="R599" s="9"/>
      <c r="S599" s="9" t="s">
        <v>3199</v>
      </c>
    </row>
    <row r="600" spans="1:19">
      <c r="A600" s="9" t="s">
        <v>71</v>
      </c>
      <c r="B600" s="9" t="s">
        <v>3190</v>
      </c>
      <c r="C600" s="9" t="s">
        <v>73</v>
      </c>
      <c r="D600" s="9" t="s">
        <v>3266</v>
      </c>
      <c r="E600" s="9" t="s">
        <v>3267</v>
      </c>
      <c r="F600" s="9" t="s">
        <v>3262</v>
      </c>
      <c r="G600" s="9" t="s">
        <v>3268</v>
      </c>
      <c r="H600" s="9" t="s">
        <v>3269</v>
      </c>
      <c r="I600" s="9">
        <v>2017</v>
      </c>
      <c r="J600" s="9" t="s">
        <v>158</v>
      </c>
      <c r="K600" s="9" t="s">
        <v>3253</v>
      </c>
      <c r="L600" s="9" t="s">
        <v>3270</v>
      </c>
      <c r="M600" s="9" t="s">
        <v>3198</v>
      </c>
      <c r="N600" s="9" t="s">
        <v>3198</v>
      </c>
      <c r="O600" s="9" t="s">
        <v>113</v>
      </c>
      <c r="P600" s="9">
        <v>1</v>
      </c>
      <c r="Q600" s="9"/>
      <c r="R600" s="9"/>
      <c r="S600" s="9" t="s">
        <v>3199</v>
      </c>
    </row>
    <row r="601" spans="1:19">
      <c r="A601" s="9" t="s">
        <v>71</v>
      </c>
      <c r="B601" s="9" t="s">
        <v>3190</v>
      </c>
      <c r="C601" s="9" t="s">
        <v>73</v>
      </c>
      <c r="D601" s="9" t="s">
        <v>3271</v>
      </c>
      <c r="E601" s="9" t="s">
        <v>3272</v>
      </c>
      <c r="F601" s="9" t="s">
        <v>3273</v>
      </c>
      <c r="G601" s="9" t="s">
        <v>3272</v>
      </c>
      <c r="H601" s="9" t="s">
        <v>1723</v>
      </c>
      <c r="I601" s="9">
        <v>2017</v>
      </c>
      <c r="J601" s="9" t="s">
        <v>130</v>
      </c>
      <c r="K601" s="9" t="s">
        <v>3274</v>
      </c>
      <c r="L601" s="9" t="s">
        <v>3275</v>
      </c>
      <c r="M601" s="9" t="s">
        <v>3198</v>
      </c>
      <c r="N601" s="9" t="s">
        <v>3198</v>
      </c>
      <c r="O601" s="9" t="s">
        <v>113</v>
      </c>
      <c r="P601" s="9">
        <v>1</v>
      </c>
      <c r="Q601" s="9"/>
      <c r="R601" s="9"/>
      <c r="S601" s="9" t="s">
        <v>3199</v>
      </c>
    </row>
    <row r="602" spans="1:19">
      <c r="A602" s="9" t="s">
        <v>71</v>
      </c>
      <c r="B602" s="9" t="s">
        <v>3190</v>
      </c>
      <c r="C602" s="9" t="s">
        <v>73</v>
      </c>
      <c r="D602" s="9" t="s">
        <v>3276</v>
      </c>
      <c r="E602" s="9" t="s">
        <v>3277</v>
      </c>
      <c r="F602" s="9" t="s">
        <v>1729</v>
      </c>
      <c r="G602" s="9" t="s">
        <v>3278</v>
      </c>
      <c r="H602" s="9" t="s">
        <v>3279</v>
      </c>
      <c r="I602" s="9">
        <v>2018</v>
      </c>
      <c r="J602" s="9" t="s">
        <v>109</v>
      </c>
      <c r="K602" s="9" t="s">
        <v>3280</v>
      </c>
      <c r="L602" s="9" t="s">
        <v>3281</v>
      </c>
      <c r="M602" s="9" t="s">
        <v>3198</v>
      </c>
      <c r="N602" s="9" t="s">
        <v>3198</v>
      </c>
      <c r="O602" s="9" t="s">
        <v>113</v>
      </c>
      <c r="P602" s="9">
        <v>1</v>
      </c>
      <c r="Q602" s="9"/>
      <c r="R602" s="9"/>
      <c r="S602" s="9" t="s">
        <v>3199</v>
      </c>
    </row>
    <row r="603" spans="1:19">
      <c r="A603" s="9" t="s">
        <v>71</v>
      </c>
      <c r="B603" s="9" t="s">
        <v>3190</v>
      </c>
      <c r="C603" s="9" t="s">
        <v>73</v>
      </c>
      <c r="D603" s="9" t="s">
        <v>3282</v>
      </c>
      <c r="E603" s="9" t="s">
        <v>3283</v>
      </c>
      <c r="F603" s="9" t="s">
        <v>3193</v>
      </c>
      <c r="G603" s="9" t="s">
        <v>3284</v>
      </c>
      <c r="H603" s="9" t="s">
        <v>3195</v>
      </c>
      <c r="I603" s="9">
        <v>2018</v>
      </c>
      <c r="J603" s="9" t="s">
        <v>158</v>
      </c>
      <c r="K603" s="9" t="s">
        <v>3285</v>
      </c>
      <c r="L603" s="9" t="s">
        <v>3286</v>
      </c>
      <c r="M603" s="9" t="s">
        <v>3198</v>
      </c>
      <c r="N603" s="9" t="s">
        <v>3198</v>
      </c>
      <c r="O603" s="9" t="s">
        <v>113</v>
      </c>
      <c r="P603" s="9">
        <v>1</v>
      </c>
      <c r="Q603" s="9"/>
      <c r="R603" s="9"/>
      <c r="S603" s="9" t="s">
        <v>3199</v>
      </c>
    </row>
    <row r="604" spans="1:19">
      <c r="A604" s="9" t="s">
        <v>71</v>
      </c>
      <c r="B604" s="9" t="s">
        <v>3190</v>
      </c>
      <c r="C604" s="9" t="s">
        <v>73</v>
      </c>
      <c r="D604" s="9" t="s">
        <v>3287</v>
      </c>
      <c r="E604" s="9" t="s">
        <v>3288</v>
      </c>
      <c r="F604" s="9" t="s">
        <v>1729</v>
      </c>
      <c r="G604" s="9" t="s">
        <v>3289</v>
      </c>
      <c r="H604" s="9" t="s">
        <v>3290</v>
      </c>
      <c r="I604" s="9">
        <v>2017</v>
      </c>
      <c r="J604" s="9" t="s">
        <v>158</v>
      </c>
      <c r="K604" s="9" t="s">
        <v>3280</v>
      </c>
      <c r="L604" s="9" t="s">
        <v>3291</v>
      </c>
      <c r="M604" s="9" t="s">
        <v>3198</v>
      </c>
      <c r="N604" s="9" t="s">
        <v>3198</v>
      </c>
      <c r="O604" s="9" t="s">
        <v>113</v>
      </c>
      <c r="P604" s="9">
        <v>1</v>
      </c>
      <c r="Q604" s="9"/>
      <c r="R604" s="9"/>
      <c r="S604" s="9" t="s">
        <v>3199</v>
      </c>
    </row>
    <row r="605" spans="1:19">
      <c r="A605" s="9" t="s">
        <v>71</v>
      </c>
      <c r="B605" s="9" t="s">
        <v>3190</v>
      </c>
      <c r="C605" s="9" t="s">
        <v>73</v>
      </c>
      <c r="D605" s="9" t="s">
        <v>3292</v>
      </c>
      <c r="E605" s="9" t="s">
        <v>3293</v>
      </c>
      <c r="F605" s="9" t="s">
        <v>3202</v>
      </c>
      <c r="G605" s="9" t="s">
        <v>3293</v>
      </c>
      <c r="H605" s="9" t="s">
        <v>1723</v>
      </c>
      <c r="I605" s="9">
        <v>2017</v>
      </c>
      <c r="J605" s="9" t="s">
        <v>130</v>
      </c>
      <c r="K605" s="9" t="s">
        <v>3294</v>
      </c>
      <c r="L605" s="9" t="s">
        <v>3295</v>
      </c>
      <c r="M605" s="9" t="s">
        <v>3198</v>
      </c>
      <c r="N605" s="9" t="s">
        <v>3198</v>
      </c>
      <c r="O605" s="9" t="s">
        <v>113</v>
      </c>
      <c r="P605" s="9">
        <v>1</v>
      </c>
      <c r="Q605" s="9"/>
      <c r="R605" s="9"/>
      <c r="S605" s="9" t="s">
        <v>3199</v>
      </c>
    </row>
    <row r="606" spans="1:19">
      <c r="A606" s="9" t="s">
        <v>71</v>
      </c>
      <c r="B606" s="9" t="s">
        <v>3190</v>
      </c>
      <c r="C606" s="9" t="s">
        <v>73</v>
      </c>
      <c r="D606" s="9" t="s">
        <v>3296</v>
      </c>
      <c r="E606" s="9" t="s">
        <v>3297</v>
      </c>
      <c r="F606" s="9" t="s">
        <v>1791</v>
      </c>
      <c r="G606" s="9" t="s">
        <v>3297</v>
      </c>
      <c r="H606" s="9" t="s">
        <v>3258</v>
      </c>
      <c r="I606" s="9">
        <v>2018</v>
      </c>
      <c r="J606" s="9" t="s">
        <v>130</v>
      </c>
      <c r="K606" s="9" t="s">
        <v>3294</v>
      </c>
      <c r="L606" s="9" t="s">
        <v>3298</v>
      </c>
      <c r="M606" s="9" t="s">
        <v>3198</v>
      </c>
      <c r="N606" s="9" t="s">
        <v>3198</v>
      </c>
      <c r="O606" s="9" t="s">
        <v>113</v>
      </c>
      <c r="P606" s="9">
        <v>1</v>
      </c>
      <c r="Q606" s="9"/>
      <c r="R606" s="9"/>
      <c r="S606" s="9" t="s">
        <v>3199</v>
      </c>
    </row>
    <row r="607" spans="1:19">
      <c r="A607" s="9" t="s">
        <v>71</v>
      </c>
      <c r="B607" s="9" t="s">
        <v>3190</v>
      </c>
      <c r="C607" s="9" t="s">
        <v>73</v>
      </c>
      <c r="D607" s="9" t="s">
        <v>3299</v>
      </c>
      <c r="E607" s="9" t="s">
        <v>3300</v>
      </c>
      <c r="F607" s="9" t="s">
        <v>3207</v>
      </c>
      <c r="G607" s="9" t="s">
        <v>3301</v>
      </c>
      <c r="H607" s="9" t="s">
        <v>3302</v>
      </c>
      <c r="I607" s="9">
        <v>2018</v>
      </c>
      <c r="J607" s="9" t="s">
        <v>109</v>
      </c>
      <c r="K607" s="9" t="s">
        <v>3294</v>
      </c>
      <c r="L607" s="9" t="s">
        <v>3303</v>
      </c>
      <c r="M607" s="9" t="s">
        <v>3198</v>
      </c>
      <c r="N607" s="9" t="s">
        <v>3198</v>
      </c>
      <c r="O607" s="9" t="s">
        <v>113</v>
      </c>
      <c r="P607" s="9">
        <v>1</v>
      </c>
      <c r="Q607" s="9"/>
      <c r="R607" s="9"/>
      <c r="S607" s="9" t="s">
        <v>3199</v>
      </c>
    </row>
    <row r="608" spans="1:19">
      <c r="A608" s="9" t="s">
        <v>71</v>
      </c>
      <c r="B608" s="9" t="s">
        <v>3190</v>
      </c>
      <c r="C608" s="9" t="s">
        <v>73</v>
      </c>
      <c r="D608" s="9" t="s">
        <v>3304</v>
      </c>
      <c r="E608" s="9" t="s">
        <v>3305</v>
      </c>
      <c r="F608" s="9" t="s">
        <v>2587</v>
      </c>
      <c r="G608" s="9" t="s">
        <v>3305</v>
      </c>
      <c r="H608" s="9" t="s">
        <v>2588</v>
      </c>
      <c r="I608" s="9">
        <v>2020</v>
      </c>
      <c r="J608" s="9" t="s">
        <v>130</v>
      </c>
      <c r="K608" s="9" t="s">
        <v>3306</v>
      </c>
      <c r="L608" s="9" t="s">
        <v>3307</v>
      </c>
      <c r="M608" s="9" t="s">
        <v>3198</v>
      </c>
      <c r="N608" s="9" t="s">
        <v>3198</v>
      </c>
      <c r="O608" s="9" t="s">
        <v>113</v>
      </c>
      <c r="P608" s="9">
        <v>1</v>
      </c>
      <c r="Q608" s="9"/>
      <c r="R608" s="9"/>
      <c r="S608" s="9" t="s">
        <v>3199</v>
      </c>
    </row>
    <row r="609" spans="1:19">
      <c r="A609" s="9" t="s">
        <v>71</v>
      </c>
      <c r="B609" s="9" t="s">
        <v>3190</v>
      </c>
      <c r="C609" s="9" t="s">
        <v>73</v>
      </c>
      <c r="D609" s="9" t="s">
        <v>3308</v>
      </c>
      <c r="E609" s="9" t="s">
        <v>3309</v>
      </c>
      <c r="F609" s="9" t="s">
        <v>3207</v>
      </c>
      <c r="G609" s="9" t="s">
        <v>3310</v>
      </c>
      <c r="H609" s="9" t="s">
        <v>3209</v>
      </c>
      <c r="I609" s="9">
        <v>2017</v>
      </c>
      <c r="J609" s="9" t="s">
        <v>158</v>
      </c>
      <c r="K609" s="9" t="s">
        <v>3294</v>
      </c>
      <c r="L609" s="9" t="s">
        <v>3311</v>
      </c>
      <c r="M609" s="9" t="s">
        <v>3198</v>
      </c>
      <c r="N609" s="9" t="s">
        <v>3198</v>
      </c>
      <c r="O609" s="9" t="s">
        <v>113</v>
      </c>
      <c r="P609" s="9">
        <v>1</v>
      </c>
      <c r="Q609" s="9"/>
      <c r="R609" s="9"/>
      <c r="S609" s="9" t="s">
        <v>3199</v>
      </c>
    </row>
    <row r="610" spans="1:19">
      <c r="A610" s="9" t="s">
        <v>71</v>
      </c>
      <c r="B610" s="9" t="s">
        <v>3190</v>
      </c>
      <c r="C610" s="9" t="s">
        <v>73</v>
      </c>
      <c r="D610" s="9" t="s">
        <v>3312</v>
      </c>
      <c r="E610" s="9" t="s">
        <v>3313</v>
      </c>
      <c r="F610" s="9" t="s">
        <v>3202</v>
      </c>
      <c r="G610" s="9" t="s">
        <v>3313</v>
      </c>
      <c r="H610" s="9" t="s">
        <v>1723</v>
      </c>
      <c r="I610" s="9">
        <v>2017</v>
      </c>
      <c r="J610" s="9" t="s">
        <v>130</v>
      </c>
      <c r="K610" s="9" t="s">
        <v>3314</v>
      </c>
      <c r="L610" s="9" t="s">
        <v>3295</v>
      </c>
      <c r="M610" s="9" t="s">
        <v>3198</v>
      </c>
      <c r="N610" s="9" t="s">
        <v>3198</v>
      </c>
      <c r="O610" s="9" t="s">
        <v>113</v>
      </c>
      <c r="P610" s="9">
        <v>1</v>
      </c>
      <c r="Q610" s="9"/>
      <c r="R610" s="9"/>
      <c r="S610" s="9" t="s">
        <v>3199</v>
      </c>
    </row>
    <row r="611" spans="1:19">
      <c r="A611" s="9" t="s">
        <v>71</v>
      </c>
      <c r="B611" s="9" t="s">
        <v>3190</v>
      </c>
      <c r="C611" s="9" t="s">
        <v>73</v>
      </c>
      <c r="D611" s="9" t="s">
        <v>3315</v>
      </c>
      <c r="E611" s="9" t="s">
        <v>3316</v>
      </c>
      <c r="F611" s="9" t="s">
        <v>1791</v>
      </c>
      <c r="G611" s="9" t="s">
        <v>3316</v>
      </c>
      <c r="H611" s="9" t="s">
        <v>3317</v>
      </c>
      <c r="I611" s="9">
        <v>2018</v>
      </c>
      <c r="J611" s="9" t="s">
        <v>130</v>
      </c>
      <c r="K611" s="9" t="s">
        <v>3314</v>
      </c>
      <c r="L611" s="9" t="s">
        <v>3318</v>
      </c>
      <c r="M611" s="9" t="s">
        <v>3198</v>
      </c>
      <c r="N611" s="9" t="s">
        <v>3198</v>
      </c>
      <c r="O611" s="9" t="s">
        <v>113</v>
      </c>
      <c r="P611" s="9">
        <v>1</v>
      </c>
      <c r="Q611" s="9"/>
      <c r="R611" s="9"/>
      <c r="S611" s="9" t="s">
        <v>3199</v>
      </c>
    </row>
    <row r="612" spans="1:19">
      <c r="A612" s="9" t="s">
        <v>71</v>
      </c>
      <c r="B612" s="9" t="s">
        <v>3190</v>
      </c>
      <c r="C612" s="9" t="s">
        <v>73</v>
      </c>
      <c r="D612" s="9" t="s">
        <v>3319</v>
      </c>
      <c r="E612" s="9" t="s">
        <v>3320</v>
      </c>
      <c r="F612" s="9" t="s">
        <v>3207</v>
      </c>
      <c r="G612" s="9" t="s">
        <v>3321</v>
      </c>
      <c r="H612" s="9" t="s">
        <v>3302</v>
      </c>
      <c r="I612" s="9">
        <v>2018</v>
      </c>
      <c r="J612" s="9" t="s">
        <v>109</v>
      </c>
      <c r="K612" s="9" t="s">
        <v>3314</v>
      </c>
      <c r="L612" s="9" t="s">
        <v>3322</v>
      </c>
      <c r="M612" s="9" t="s">
        <v>3198</v>
      </c>
      <c r="N612" s="9" t="s">
        <v>3198</v>
      </c>
      <c r="O612" s="9" t="s">
        <v>113</v>
      </c>
      <c r="P612" s="9">
        <v>1</v>
      </c>
      <c r="Q612" s="9"/>
      <c r="R612" s="9"/>
      <c r="S612" s="9" t="s">
        <v>3199</v>
      </c>
    </row>
    <row r="613" spans="1:19">
      <c r="A613" s="9" t="s">
        <v>71</v>
      </c>
      <c r="B613" s="9" t="s">
        <v>3190</v>
      </c>
      <c r="C613" s="9" t="s">
        <v>73</v>
      </c>
      <c r="D613" s="9" t="s">
        <v>3323</v>
      </c>
      <c r="E613" s="9" t="s">
        <v>3324</v>
      </c>
      <c r="F613" s="9" t="s">
        <v>3207</v>
      </c>
      <c r="G613" s="9" t="s">
        <v>3325</v>
      </c>
      <c r="H613" s="9" t="s">
        <v>3209</v>
      </c>
      <c r="I613" s="9">
        <v>2017</v>
      </c>
      <c r="J613" s="9" t="s">
        <v>158</v>
      </c>
      <c r="K613" s="9" t="s">
        <v>3314</v>
      </c>
      <c r="L613" s="9" t="s">
        <v>3326</v>
      </c>
      <c r="M613" s="9" t="s">
        <v>3198</v>
      </c>
      <c r="N613" s="9" t="s">
        <v>3198</v>
      </c>
      <c r="O613" s="9" t="s">
        <v>113</v>
      </c>
      <c r="P613" s="9">
        <v>1</v>
      </c>
      <c r="Q613" s="9"/>
      <c r="R613" s="9"/>
      <c r="S613" s="9" t="s">
        <v>3199</v>
      </c>
    </row>
    <row r="614" spans="1:19">
      <c r="A614" s="9" t="s">
        <v>71</v>
      </c>
      <c r="B614" s="9" t="s">
        <v>3190</v>
      </c>
      <c r="C614" s="9" t="s">
        <v>73</v>
      </c>
      <c r="D614" s="9" t="s">
        <v>3327</v>
      </c>
      <c r="E614" s="9" t="s">
        <v>3328</v>
      </c>
      <c r="F614" s="9" t="s">
        <v>3329</v>
      </c>
      <c r="G614" s="9" t="s">
        <v>3330</v>
      </c>
      <c r="H614" s="9" t="s">
        <v>2064</v>
      </c>
      <c r="I614" s="9">
        <v>2018</v>
      </c>
      <c r="J614" s="9" t="s">
        <v>158</v>
      </c>
      <c r="K614" s="9" t="s">
        <v>3331</v>
      </c>
      <c r="L614" s="9" t="s">
        <v>3332</v>
      </c>
      <c r="M614" s="9" t="s">
        <v>3198</v>
      </c>
      <c r="N614" s="9" t="s">
        <v>3198</v>
      </c>
      <c r="O614" s="9" t="s">
        <v>113</v>
      </c>
      <c r="P614" s="9">
        <v>1</v>
      </c>
      <c r="Q614" s="9"/>
      <c r="R614" s="9"/>
      <c r="S614" s="9" t="s">
        <v>3199</v>
      </c>
    </row>
    <row r="615" spans="1:19">
      <c r="A615" s="9" t="s">
        <v>74</v>
      </c>
      <c r="B615" s="9" t="s">
        <v>3333</v>
      </c>
      <c r="C615" s="9" t="s">
        <v>77</v>
      </c>
      <c r="D615" s="9" t="s">
        <v>3334</v>
      </c>
      <c r="E615" s="9" t="s">
        <v>3335</v>
      </c>
      <c r="F615" s="9" t="s">
        <v>3336</v>
      </c>
      <c r="G615" s="9" t="s">
        <v>3337</v>
      </c>
      <c r="H615" s="9" t="s">
        <v>1022</v>
      </c>
      <c r="I615" s="9">
        <v>2025</v>
      </c>
      <c r="J615" s="9" t="s">
        <v>158</v>
      </c>
      <c r="K615" s="9" t="s">
        <v>3338</v>
      </c>
      <c r="L615" s="9" t="s">
        <v>3339</v>
      </c>
      <c r="M615" s="9" t="s">
        <v>3340</v>
      </c>
      <c r="N615" s="9" t="s">
        <v>3340</v>
      </c>
      <c r="O615" s="9" t="s">
        <v>113</v>
      </c>
      <c r="P615" s="9">
        <v>1</v>
      </c>
      <c r="Q615" s="9"/>
      <c r="R615" s="9"/>
      <c r="S615" s="9" t="s">
        <v>3341</v>
      </c>
    </row>
    <row r="616" spans="1:19">
      <c r="A616" s="9" t="s">
        <v>74</v>
      </c>
      <c r="B616" s="9" t="s">
        <v>3333</v>
      </c>
      <c r="C616" s="9" t="s">
        <v>77</v>
      </c>
      <c r="D616" s="9" t="s">
        <v>3342</v>
      </c>
      <c r="E616" s="9" t="s">
        <v>3343</v>
      </c>
      <c r="F616" s="9" t="s">
        <v>3336</v>
      </c>
      <c r="G616" s="9" t="s">
        <v>3344</v>
      </c>
      <c r="H616" s="9" t="s">
        <v>3345</v>
      </c>
      <c r="I616" s="9">
        <v>2026</v>
      </c>
      <c r="J616" s="9" t="s">
        <v>351</v>
      </c>
      <c r="K616" s="9" t="s">
        <v>3338</v>
      </c>
      <c r="L616" s="9" t="s">
        <v>3339</v>
      </c>
      <c r="M616" s="9" t="s">
        <v>3346</v>
      </c>
      <c r="N616" s="9" t="s">
        <v>3346</v>
      </c>
      <c r="O616" s="9" t="s">
        <v>113</v>
      </c>
      <c r="P616" s="9">
        <v>1</v>
      </c>
      <c r="Q616" s="9"/>
      <c r="R616" s="9"/>
      <c r="S616" s="9" t="s">
        <v>3341</v>
      </c>
    </row>
    <row r="617" spans="1:19">
      <c r="A617" s="9" t="s">
        <v>74</v>
      </c>
      <c r="B617" s="9" t="s">
        <v>3333</v>
      </c>
      <c r="C617" s="9" t="s">
        <v>77</v>
      </c>
      <c r="D617" s="9" t="s">
        <v>3347</v>
      </c>
      <c r="E617" s="9" t="s">
        <v>3348</v>
      </c>
      <c r="F617" s="9" t="s">
        <v>3349</v>
      </c>
      <c r="G617" s="9" t="s">
        <v>3350</v>
      </c>
      <c r="H617" s="9" t="s">
        <v>3351</v>
      </c>
      <c r="I617" s="9">
        <v>2017</v>
      </c>
      <c r="J617" s="9" t="s">
        <v>351</v>
      </c>
      <c r="K617" s="9" t="s">
        <v>3352</v>
      </c>
      <c r="L617" s="9" t="s">
        <v>3353</v>
      </c>
      <c r="M617" s="9" t="s">
        <v>3346</v>
      </c>
      <c r="N617" s="9" t="s">
        <v>3346</v>
      </c>
      <c r="O617" s="9" t="s">
        <v>113</v>
      </c>
      <c r="P617" s="9">
        <v>1</v>
      </c>
      <c r="Q617" s="9"/>
      <c r="R617" s="9"/>
      <c r="S617" s="9" t="s">
        <v>3341</v>
      </c>
    </row>
    <row r="618" spans="1:19">
      <c r="A618" s="9" t="s">
        <v>74</v>
      </c>
      <c r="B618" s="9" t="s">
        <v>3333</v>
      </c>
      <c r="C618" s="9" t="s">
        <v>77</v>
      </c>
      <c r="D618" s="9" t="s">
        <v>3354</v>
      </c>
      <c r="E618" s="9" t="s">
        <v>3355</v>
      </c>
      <c r="F618" s="9" t="s">
        <v>3349</v>
      </c>
      <c r="G618" s="9" t="s">
        <v>3356</v>
      </c>
      <c r="H618" s="9" t="s">
        <v>3357</v>
      </c>
      <c r="I618" s="9">
        <v>2017</v>
      </c>
      <c r="J618" s="9" t="s">
        <v>109</v>
      </c>
      <c r="K618" s="9" t="s">
        <v>3358</v>
      </c>
      <c r="L618" s="9" t="s">
        <v>3359</v>
      </c>
      <c r="M618" s="9" t="s">
        <v>3360</v>
      </c>
      <c r="N618" s="9" t="s">
        <v>3360</v>
      </c>
      <c r="O618" s="9" t="s">
        <v>113</v>
      </c>
      <c r="P618" s="9">
        <v>1</v>
      </c>
      <c r="Q618" s="9"/>
      <c r="R618" s="9"/>
      <c r="S618" s="9" t="s">
        <v>3341</v>
      </c>
    </row>
    <row r="619" spans="1:19">
      <c r="A619" s="9" t="s">
        <v>74</v>
      </c>
      <c r="B619" s="9" t="s">
        <v>3333</v>
      </c>
      <c r="C619" s="9" t="s">
        <v>77</v>
      </c>
      <c r="D619" s="9" t="s">
        <v>3361</v>
      </c>
      <c r="E619" s="9" t="s">
        <v>3362</v>
      </c>
      <c r="F619" s="9" t="s">
        <v>3363</v>
      </c>
      <c r="G619" s="9" t="s">
        <v>3362</v>
      </c>
      <c r="H619" s="9" t="s">
        <v>3364</v>
      </c>
      <c r="I619" s="9">
        <v>2017</v>
      </c>
      <c r="J619" s="9" t="s">
        <v>130</v>
      </c>
      <c r="K619" s="9" t="s">
        <v>3352</v>
      </c>
      <c r="L619" s="9" t="s">
        <v>3353</v>
      </c>
      <c r="M619" s="9" t="s">
        <v>3340</v>
      </c>
      <c r="N619" s="9" t="s">
        <v>3340</v>
      </c>
      <c r="O619" s="9" t="s">
        <v>113</v>
      </c>
      <c r="P619" s="9">
        <v>1</v>
      </c>
      <c r="Q619" s="9"/>
      <c r="R619" s="9"/>
      <c r="S619" s="9" t="s">
        <v>3341</v>
      </c>
    </row>
    <row r="620" spans="1:19">
      <c r="A620" s="9" t="s">
        <v>74</v>
      </c>
      <c r="B620" s="9" t="s">
        <v>3333</v>
      </c>
      <c r="C620" s="9" t="s">
        <v>77</v>
      </c>
      <c r="D620" s="9" t="s">
        <v>3365</v>
      </c>
      <c r="E620" s="9" t="s">
        <v>3366</v>
      </c>
      <c r="F620" s="9" t="s">
        <v>3349</v>
      </c>
      <c r="G620" s="9" t="s">
        <v>3366</v>
      </c>
      <c r="H620" s="9" t="s">
        <v>3367</v>
      </c>
      <c r="I620" s="9">
        <v>2017</v>
      </c>
      <c r="J620" s="9" t="s">
        <v>2360</v>
      </c>
      <c r="K620" s="9" t="s">
        <v>3368</v>
      </c>
      <c r="L620" s="9" t="s">
        <v>3369</v>
      </c>
      <c r="M620" s="9" t="s">
        <v>3340</v>
      </c>
      <c r="N620" s="9" t="s">
        <v>3340</v>
      </c>
      <c r="O620" s="9" t="s">
        <v>113</v>
      </c>
      <c r="P620" s="9">
        <v>1</v>
      </c>
      <c r="Q620" s="9"/>
      <c r="R620" s="9"/>
      <c r="S620" s="9" t="s">
        <v>3341</v>
      </c>
    </row>
    <row r="621" spans="1:19">
      <c r="A621" s="9" t="s">
        <v>74</v>
      </c>
      <c r="B621" s="9" t="s">
        <v>3333</v>
      </c>
      <c r="C621" s="9" t="s">
        <v>77</v>
      </c>
      <c r="D621" s="9" t="s">
        <v>3370</v>
      </c>
      <c r="E621" s="9" t="s">
        <v>3371</v>
      </c>
      <c r="F621" s="9" t="s">
        <v>3349</v>
      </c>
      <c r="G621" s="9" t="s">
        <v>3372</v>
      </c>
      <c r="H621" s="9" t="s">
        <v>3373</v>
      </c>
      <c r="I621" s="9">
        <v>2020</v>
      </c>
      <c r="J621" s="9" t="s">
        <v>351</v>
      </c>
      <c r="K621" s="9" t="s">
        <v>3352</v>
      </c>
      <c r="L621" s="9" t="s">
        <v>3353</v>
      </c>
      <c r="M621" s="9" t="s">
        <v>3346</v>
      </c>
      <c r="N621" s="9" t="s">
        <v>3346</v>
      </c>
      <c r="O621" s="9" t="s">
        <v>113</v>
      </c>
      <c r="P621" s="9">
        <v>1</v>
      </c>
      <c r="Q621" s="9"/>
      <c r="R621" s="9"/>
      <c r="S621" s="9" t="s">
        <v>3341</v>
      </c>
    </row>
    <row r="622" spans="1:19">
      <c r="A622" s="9" t="s">
        <v>74</v>
      </c>
      <c r="B622" s="9" t="s">
        <v>3333</v>
      </c>
      <c r="C622" s="9" t="s">
        <v>77</v>
      </c>
      <c r="D622" s="9" t="s">
        <v>3374</v>
      </c>
      <c r="E622" s="9" t="s">
        <v>3348</v>
      </c>
      <c r="F622" s="9" t="s">
        <v>3349</v>
      </c>
      <c r="G622" s="9" t="s">
        <v>3375</v>
      </c>
      <c r="H622" s="9" t="s">
        <v>3376</v>
      </c>
      <c r="I622" s="9">
        <v>2020</v>
      </c>
      <c r="J622" s="9" t="s">
        <v>980</v>
      </c>
      <c r="K622" s="9" t="s">
        <v>3377</v>
      </c>
      <c r="L622" s="9" t="s">
        <v>3353</v>
      </c>
      <c r="M622" s="9" t="s">
        <v>3360</v>
      </c>
      <c r="N622" s="9" t="s">
        <v>3360</v>
      </c>
      <c r="O622" s="9" t="s">
        <v>113</v>
      </c>
      <c r="P622" s="9">
        <v>1</v>
      </c>
      <c r="Q622" s="9"/>
      <c r="R622" s="9"/>
      <c r="S622" s="9" t="s">
        <v>3341</v>
      </c>
    </row>
    <row r="623" spans="1:19">
      <c r="A623" s="9" t="s">
        <v>74</v>
      </c>
      <c r="B623" s="9" t="s">
        <v>3333</v>
      </c>
      <c r="C623" s="9" t="s">
        <v>77</v>
      </c>
      <c r="D623" s="9" t="s">
        <v>3378</v>
      </c>
      <c r="E623" s="9" t="s">
        <v>3379</v>
      </c>
      <c r="F623" s="9" t="s">
        <v>3380</v>
      </c>
      <c r="G623" s="9" t="s">
        <v>3381</v>
      </c>
      <c r="H623" s="9" t="s">
        <v>2029</v>
      </c>
      <c r="I623" s="9">
        <v>2021</v>
      </c>
      <c r="J623" s="9" t="s">
        <v>109</v>
      </c>
      <c r="K623" s="9" t="s">
        <v>3352</v>
      </c>
      <c r="L623" s="9" t="s">
        <v>3353</v>
      </c>
      <c r="M623" s="9" t="s">
        <v>3360</v>
      </c>
      <c r="N623" s="9" t="s">
        <v>3360</v>
      </c>
      <c r="O623" s="9" t="s">
        <v>113</v>
      </c>
      <c r="P623" s="9">
        <v>1</v>
      </c>
      <c r="Q623" s="9"/>
      <c r="R623" s="9"/>
      <c r="S623" s="9" t="s">
        <v>3341</v>
      </c>
    </row>
    <row r="624" spans="1:19">
      <c r="A624" s="9" t="s">
        <v>74</v>
      </c>
      <c r="B624" s="9" t="s">
        <v>3333</v>
      </c>
      <c r="C624" s="9" t="s">
        <v>77</v>
      </c>
      <c r="D624" s="9" t="s">
        <v>3382</v>
      </c>
      <c r="E624" s="9" t="s">
        <v>3383</v>
      </c>
      <c r="F624" s="9" t="s">
        <v>3349</v>
      </c>
      <c r="G624" s="9" t="s">
        <v>3384</v>
      </c>
      <c r="H624" s="9" t="s">
        <v>3385</v>
      </c>
      <c r="I624" s="9">
        <v>2016</v>
      </c>
      <c r="J624" s="9" t="s">
        <v>158</v>
      </c>
      <c r="K624" s="9" t="s">
        <v>3352</v>
      </c>
      <c r="L624" s="9" t="s">
        <v>3353</v>
      </c>
      <c r="M624" s="9" t="s">
        <v>3340</v>
      </c>
      <c r="N624" s="9" t="s">
        <v>3340</v>
      </c>
      <c r="O624" s="9" t="s">
        <v>113</v>
      </c>
      <c r="P624" s="9">
        <v>1</v>
      </c>
      <c r="Q624" s="9"/>
      <c r="R624" s="9"/>
      <c r="S624" s="9" t="s">
        <v>3341</v>
      </c>
    </row>
    <row r="625" spans="1:19">
      <c r="A625" s="9" t="s">
        <v>74</v>
      </c>
      <c r="B625" s="9" t="s">
        <v>3333</v>
      </c>
      <c r="C625" s="9" t="s">
        <v>77</v>
      </c>
      <c r="D625" s="9" t="s">
        <v>3386</v>
      </c>
      <c r="E625" s="9" t="s">
        <v>3387</v>
      </c>
      <c r="F625" s="9" t="s">
        <v>3349</v>
      </c>
      <c r="G625" s="9" t="s">
        <v>3387</v>
      </c>
      <c r="H625" s="9" t="s">
        <v>3385</v>
      </c>
      <c r="I625" s="9">
        <v>2016</v>
      </c>
      <c r="J625" s="9" t="s">
        <v>3388</v>
      </c>
      <c r="K625" s="9" t="s">
        <v>3352</v>
      </c>
      <c r="L625" s="9" t="s">
        <v>3389</v>
      </c>
      <c r="M625" s="9" t="s">
        <v>3340</v>
      </c>
      <c r="N625" s="9" t="s">
        <v>3340</v>
      </c>
      <c r="O625" s="9" t="s">
        <v>113</v>
      </c>
      <c r="P625" s="9">
        <v>1</v>
      </c>
      <c r="Q625" s="9"/>
      <c r="R625" s="9"/>
      <c r="S625" s="9" t="s">
        <v>3341</v>
      </c>
    </row>
    <row r="626" spans="1:19">
      <c r="A626" s="9" t="s">
        <v>74</v>
      </c>
      <c r="B626" s="9" t="s">
        <v>3333</v>
      </c>
      <c r="C626" s="9" t="s">
        <v>77</v>
      </c>
      <c r="D626" s="9" t="s">
        <v>3390</v>
      </c>
      <c r="E626" s="9" t="s">
        <v>3391</v>
      </c>
      <c r="F626" s="9" t="s">
        <v>3392</v>
      </c>
      <c r="G626" s="9" t="s">
        <v>3393</v>
      </c>
      <c r="H626" s="9" t="s">
        <v>3394</v>
      </c>
      <c r="I626" s="9">
        <v>2013</v>
      </c>
      <c r="J626" s="9" t="s">
        <v>351</v>
      </c>
      <c r="K626" s="9" t="s">
        <v>3395</v>
      </c>
      <c r="L626" s="9" t="s">
        <v>3353</v>
      </c>
      <c r="M626" s="9" t="s">
        <v>3346</v>
      </c>
      <c r="N626" s="9" t="s">
        <v>3346</v>
      </c>
      <c r="O626" s="9" t="s">
        <v>113</v>
      </c>
      <c r="P626" s="9">
        <v>1</v>
      </c>
      <c r="Q626" s="9"/>
      <c r="R626" s="9"/>
      <c r="S626" s="9" t="s">
        <v>3341</v>
      </c>
    </row>
    <row r="627" spans="1:19">
      <c r="A627" s="9" t="s">
        <v>74</v>
      </c>
      <c r="B627" s="9" t="s">
        <v>3333</v>
      </c>
      <c r="C627" s="9" t="s">
        <v>77</v>
      </c>
      <c r="D627" s="9" t="s">
        <v>3396</v>
      </c>
      <c r="E627" s="9" t="s">
        <v>3397</v>
      </c>
      <c r="F627" s="9" t="s">
        <v>3398</v>
      </c>
      <c r="G627" s="9" t="s">
        <v>3399</v>
      </c>
      <c r="H627" s="9" t="s">
        <v>3400</v>
      </c>
      <c r="I627" s="9">
        <v>2021</v>
      </c>
      <c r="J627" s="9" t="s">
        <v>109</v>
      </c>
      <c r="K627" s="9" t="s">
        <v>3401</v>
      </c>
      <c r="L627" s="9" t="s">
        <v>3402</v>
      </c>
      <c r="M627" s="9" t="s">
        <v>3340</v>
      </c>
      <c r="N627" s="9" t="s">
        <v>3340</v>
      </c>
      <c r="O627" s="9" t="s">
        <v>113</v>
      </c>
      <c r="P627" s="9">
        <v>1</v>
      </c>
      <c r="Q627" s="9"/>
      <c r="R627" s="9"/>
      <c r="S627" s="9" t="s">
        <v>3341</v>
      </c>
    </row>
    <row r="628" spans="1:19">
      <c r="A628" s="9" t="s">
        <v>74</v>
      </c>
      <c r="B628" s="9" t="s">
        <v>3333</v>
      </c>
      <c r="C628" s="9" t="s">
        <v>77</v>
      </c>
      <c r="D628" s="9" t="s">
        <v>3403</v>
      </c>
      <c r="E628" s="9" t="s">
        <v>3391</v>
      </c>
      <c r="F628" s="9" t="s">
        <v>3392</v>
      </c>
      <c r="G628" s="9" t="s">
        <v>3393</v>
      </c>
      <c r="H628" s="9" t="s">
        <v>3404</v>
      </c>
      <c r="I628" s="9">
        <v>2021</v>
      </c>
      <c r="J628" s="9" t="s">
        <v>3405</v>
      </c>
      <c r="K628" s="9" t="s">
        <v>3406</v>
      </c>
      <c r="L628" s="9" t="s">
        <v>3353</v>
      </c>
      <c r="M628" s="9" t="s">
        <v>3360</v>
      </c>
      <c r="N628" s="9" t="s">
        <v>3360</v>
      </c>
      <c r="O628" s="9" t="s">
        <v>113</v>
      </c>
      <c r="P628" s="9">
        <v>1</v>
      </c>
      <c r="Q628" s="9"/>
      <c r="R628" s="9"/>
      <c r="S628" s="9" t="s">
        <v>3341</v>
      </c>
    </row>
    <row r="629" spans="1:19">
      <c r="A629" s="9" t="s">
        <v>74</v>
      </c>
      <c r="B629" s="9" t="s">
        <v>3333</v>
      </c>
      <c r="C629" s="9" t="s">
        <v>77</v>
      </c>
      <c r="D629" s="9" t="s">
        <v>3407</v>
      </c>
      <c r="E629" s="9" t="s">
        <v>3408</v>
      </c>
      <c r="F629" s="9" t="s">
        <v>3398</v>
      </c>
      <c r="G629" s="9" t="s">
        <v>3409</v>
      </c>
      <c r="H629" s="9" t="s">
        <v>3410</v>
      </c>
      <c r="I629" s="9">
        <v>2021</v>
      </c>
      <c r="J629" s="9" t="s">
        <v>351</v>
      </c>
      <c r="K629" s="9" t="s">
        <v>3411</v>
      </c>
      <c r="L629" s="9" t="s">
        <v>3412</v>
      </c>
      <c r="M629" s="9" t="s">
        <v>3346</v>
      </c>
      <c r="N629" s="9" t="s">
        <v>3346</v>
      </c>
      <c r="O629" s="9" t="s">
        <v>113</v>
      </c>
      <c r="P629" s="9">
        <v>1</v>
      </c>
      <c r="Q629" s="9"/>
      <c r="R629" s="9"/>
      <c r="S629" s="9" t="s">
        <v>3341</v>
      </c>
    </row>
    <row r="630" spans="1:19">
      <c r="A630" s="9" t="s">
        <v>74</v>
      </c>
      <c r="B630" s="9" t="s">
        <v>3333</v>
      </c>
      <c r="C630" s="9" t="s">
        <v>77</v>
      </c>
      <c r="D630" s="9" t="s">
        <v>3413</v>
      </c>
      <c r="E630" s="9" t="s">
        <v>3414</v>
      </c>
      <c r="F630" s="9" t="s">
        <v>3392</v>
      </c>
      <c r="G630" s="9" t="s">
        <v>3393</v>
      </c>
      <c r="H630" s="9" t="s">
        <v>3404</v>
      </c>
      <c r="I630" s="9">
        <v>2021</v>
      </c>
      <c r="J630" s="9" t="s">
        <v>3415</v>
      </c>
      <c r="K630" s="9" t="s">
        <v>3395</v>
      </c>
      <c r="L630" s="9" t="s">
        <v>3353</v>
      </c>
      <c r="M630" s="9" t="s">
        <v>3340</v>
      </c>
      <c r="N630" s="9" t="s">
        <v>3340</v>
      </c>
      <c r="O630" s="9" t="s">
        <v>113</v>
      </c>
      <c r="P630" s="9">
        <v>1</v>
      </c>
      <c r="Q630" s="9"/>
      <c r="R630" s="9"/>
      <c r="S630" s="9" t="s">
        <v>3341</v>
      </c>
    </row>
    <row r="631" spans="1:19">
      <c r="A631" s="9" t="s">
        <v>74</v>
      </c>
      <c r="B631" s="9" t="s">
        <v>3333</v>
      </c>
      <c r="C631" s="9" t="s">
        <v>77</v>
      </c>
      <c r="D631" s="9" t="s">
        <v>3416</v>
      </c>
      <c r="E631" s="9" t="s">
        <v>3391</v>
      </c>
      <c r="F631" s="9" t="s">
        <v>3392</v>
      </c>
      <c r="G631" s="9" t="s">
        <v>3417</v>
      </c>
      <c r="H631" s="9" t="s">
        <v>3418</v>
      </c>
      <c r="I631" s="9">
        <v>2022</v>
      </c>
      <c r="J631" s="9" t="s">
        <v>980</v>
      </c>
      <c r="K631" s="9" t="s">
        <v>3419</v>
      </c>
      <c r="L631" s="9" t="s">
        <v>3353</v>
      </c>
      <c r="M631" s="9" t="s">
        <v>3360</v>
      </c>
      <c r="N631" s="9" t="s">
        <v>3360</v>
      </c>
      <c r="O631" s="9" t="s">
        <v>113</v>
      </c>
      <c r="P631" s="9">
        <v>1</v>
      </c>
      <c r="Q631" s="9"/>
      <c r="R631" s="9"/>
      <c r="S631" s="9" t="s">
        <v>3341</v>
      </c>
    </row>
    <row r="632" spans="1:19">
      <c r="A632" s="9" t="s">
        <v>74</v>
      </c>
      <c r="B632" s="9" t="s">
        <v>3333</v>
      </c>
      <c r="C632" s="9" t="s">
        <v>77</v>
      </c>
      <c r="D632" s="9" t="s">
        <v>3420</v>
      </c>
      <c r="E632" s="9" t="s">
        <v>3421</v>
      </c>
      <c r="F632" s="9" t="s">
        <v>3398</v>
      </c>
      <c r="G632" s="9" t="s">
        <v>3422</v>
      </c>
      <c r="H632" s="9" t="s">
        <v>3423</v>
      </c>
      <c r="I632" s="9">
        <v>2020</v>
      </c>
      <c r="J632" s="9" t="s">
        <v>158</v>
      </c>
      <c r="K632" s="9" t="s">
        <v>3411</v>
      </c>
      <c r="L632" s="9" t="s">
        <v>3412</v>
      </c>
      <c r="M632" s="9" t="s">
        <v>3340</v>
      </c>
      <c r="N632" s="9" t="s">
        <v>3340</v>
      </c>
      <c r="O632" s="9" t="s">
        <v>113</v>
      </c>
      <c r="P632" s="9">
        <v>1</v>
      </c>
      <c r="Q632" s="9"/>
      <c r="R632" s="9"/>
      <c r="S632" s="9" t="s">
        <v>3341</v>
      </c>
    </row>
    <row r="633" spans="1:19">
      <c r="A633" s="9" t="s">
        <v>74</v>
      </c>
      <c r="B633" s="9" t="s">
        <v>3333</v>
      </c>
      <c r="C633" s="9" t="s">
        <v>77</v>
      </c>
      <c r="D633" s="9" t="s">
        <v>3424</v>
      </c>
      <c r="E633" s="9" t="s">
        <v>3425</v>
      </c>
      <c r="F633" s="9" t="s">
        <v>3426</v>
      </c>
      <c r="G633" s="9" t="s">
        <v>3427</v>
      </c>
      <c r="H633" s="9" t="s">
        <v>3428</v>
      </c>
      <c r="I633" s="9">
        <v>2015</v>
      </c>
      <c r="J633" s="9" t="s">
        <v>351</v>
      </c>
      <c r="K633" s="9" t="s">
        <v>3429</v>
      </c>
      <c r="L633" s="9" t="s">
        <v>3353</v>
      </c>
      <c r="M633" s="9" t="s">
        <v>3346</v>
      </c>
      <c r="N633" s="9" t="s">
        <v>3346</v>
      </c>
      <c r="O633" s="9" t="s">
        <v>113</v>
      </c>
      <c r="P633" s="9">
        <v>1</v>
      </c>
      <c r="Q633" s="9"/>
      <c r="R633" s="9"/>
      <c r="S633" s="9" t="s">
        <v>3341</v>
      </c>
    </row>
    <row r="634" spans="1:19">
      <c r="A634" s="9" t="s">
        <v>74</v>
      </c>
      <c r="B634" s="9" t="s">
        <v>3333</v>
      </c>
      <c r="C634" s="9" t="s">
        <v>77</v>
      </c>
      <c r="D634" s="9" t="s">
        <v>3430</v>
      </c>
      <c r="E634" s="9" t="s">
        <v>3431</v>
      </c>
      <c r="F634" s="9" t="s">
        <v>543</v>
      </c>
      <c r="G634" s="9" t="s">
        <v>3432</v>
      </c>
      <c r="H634" s="9" t="s">
        <v>3433</v>
      </c>
      <c r="I634" s="9">
        <v>2025</v>
      </c>
      <c r="J634" s="9" t="s">
        <v>109</v>
      </c>
      <c r="K634" s="9" t="s">
        <v>3434</v>
      </c>
      <c r="L634" s="9" t="s">
        <v>3435</v>
      </c>
      <c r="M634" s="9" t="s">
        <v>3340</v>
      </c>
      <c r="N634" s="9" t="s">
        <v>3340</v>
      </c>
      <c r="O634" s="9" t="s">
        <v>113</v>
      </c>
      <c r="P634" s="9">
        <v>1</v>
      </c>
      <c r="Q634" s="9"/>
      <c r="R634" s="9"/>
      <c r="S634" s="9" t="s">
        <v>3341</v>
      </c>
    </row>
    <row r="635" spans="1:19">
      <c r="A635" s="9" t="s">
        <v>74</v>
      </c>
      <c r="B635" s="9" t="s">
        <v>3333</v>
      </c>
      <c r="C635" s="9" t="s">
        <v>77</v>
      </c>
      <c r="D635" s="9" t="s">
        <v>3436</v>
      </c>
      <c r="E635" s="9" t="s">
        <v>3437</v>
      </c>
      <c r="F635" s="9" t="s">
        <v>543</v>
      </c>
      <c r="G635" s="9" t="s">
        <v>3438</v>
      </c>
      <c r="H635" s="9" t="s">
        <v>3439</v>
      </c>
      <c r="I635" s="9">
        <v>2023</v>
      </c>
      <c r="J635" s="9" t="s">
        <v>158</v>
      </c>
      <c r="K635" s="9" t="s">
        <v>3434</v>
      </c>
      <c r="L635" s="9" t="s">
        <v>3440</v>
      </c>
      <c r="M635" s="9" t="s">
        <v>3340</v>
      </c>
      <c r="N635" s="9" t="s">
        <v>3340</v>
      </c>
      <c r="O635" s="9" t="s">
        <v>113</v>
      </c>
      <c r="P635" s="9">
        <v>1</v>
      </c>
      <c r="Q635" s="9"/>
      <c r="R635" s="9"/>
      <c r="S635" s="9" t="s">
        <v>3341</v>
      </c>
    </row>
    <row r="636" spans="1:19">
      <c r="A636" s="9" t="s">
        <v>74</v>
      </c>
      <c r="B636" s="9" t="s">
        <v>3333</v>
      </c>
      <c r="C636" s="9" t="s">
        <v>77</v>
      </c>
      <c r="D636" s="9" t="s">
        <v>3441</v>
      </c>
      <c r="E636" s="9" t="s">
        <v>3442</v>
      </c>
      <c r="F636" s="9" t="s">
        <v>543</v>
      </c>
      <c r="G636" s="9" t="s">
        <v>3443</v>
      </c>
      <c r="H636" s="9" t="s">
        <v>3444</v>
      </c>
      <c r="I636" s="9">
        <v>2024</v>
      </c>
      <c r="J636" s="9" t="s">
        <v>351</v>
      </c>
      <c r="K636" s="9" t="s">
        <v>3434</v>
      </c>
      <c r="L636" s="9" t="s">
        <v>3440</v>
      </c>
      <c r="M636" s="9" t="s">
        <v>3346</v>
      </c>
      <c r="N636" s="9" t="s">
        <v>3346</v>
      </c>
      <c r="O636" s="9" t="s">
        <v>113</v>
      </c>
      <c r="P636" s="9">
        <v>1</v>
      </c>
      <c r="Q636" s="9"/>
      <c r="R636" s="9"/>
      <c r="S636" s="9" t="s">
        <v>3341</v>
      </c>
    </row>
    <row r="637" spans="1:19">
      <c r="A637" s="9" t="s">
        <v>74</v>
      </c>
      <c r="B637" s="9" t="s">
        <v>3333</v>
      </c>
      <c r="C637" s="9" t="s">
        <v>77</v>
      </c>
      <c r="D637" s="9" t="s">
        <v>3445</v>
      </c>
      <c r="E637" s="9" t="s">
        <v>3446</v>
      </c>
      <c r="F637" s="9" t="s">
        <v>543</v>
      </c>
      <c r="G637" s="9" t="s">
        <v>3446</v>
      </c>
      <c r="H637" s="9" t="s">
        <v>3439</v>
      </c>
      <c r="I637" s="9">
        <v>2023</v>
      </c>
      <c r="J637" s="9" t="s">
        <v>3388</v>
      </c>
      <c r="K637" s="9" t="s">
        <v>3434</v>
      </c>
      <c r="L637" s="9" t="s">
        <v>3447</v>
      </c>
      <c r="M637" s="9" t="s">
        <v>3340</v>
      </c>
      <c r="N637" s="9" t="s">
        <v>3340</v>
      </c>
      <c r="O637" s="9" t="s">
        <v>113</v>
      </c>
      <c r="P637" s="9">
        <v>1</v>
      </c>
      <c r="Q637" s="9"/>
      <c r="R637" s="9"/>
      <c r="S637" s="9" t="s">
        <v>3341</v>
      </c>
    </row>
    <row r="638" spans="1:19">
      <c r="A638" s="9" t="s">
        <v>74</v>
      </c>
      <c r="B638" s="9" t="s">
        <v>3333</v>
      </c>
      <c r="C638" s="9" t="s">
        <v>77</v>
      </c>
      <c r="D638" s="9" t="s">
        <v>3448</v>
      </c>
      <c r="E638" s="9" t="s">
        <v>3449</v>
      </c>
      <c r="F638" s="9" t="s">
        <v>1147</v>
      </c>
      <c r="G638" s="9" t="s">
        <v>3449</v>
      </c>
      <c r="H638" s="9" t="s">
        <v>1149</v>
      </c>
      <c r="I638" s="9">
        <v>2025</v>
      </c>
      <c r="J638" s="9" t="s">
        <v>3388</v>
      </c>
      <c r="K638" s="9" t="s">
        <v>3450</v>
      </c>
      <c r="L638" s="9" t="s">
        <v>3451</v>
      </c>
      <c r="M638" s="9" t="s">
        <v>3340</v>
      </c>
      <c r="N638" s="9" t="s">
        <v>3340</v>
      </c>
      <c r="O638" s="9" t="s">
        <v>113</v>
      </c>
      <c r="P638" s="9">
        <v>1</v>
      </c>
      <c r="Q638" s="9"/>
      <c r="R638" s="9"/>
      <c r="S638" s="9" t="s">
        <v>3341</v>
      </c>
    </row>
    <row r="639" spans="1:19">
      <c r="A639" s="9" t="s">
        <v>74</v>
      </c>
      <c r="B639" s="9" t="s">
        <v>3333</v>
      </c>
      <c r="C639" s="9" t="s">
        <v>77</v>
      </c>
      <c r="D639" s="9" t="s">
        <v>3452</v>
      </c>
      <c r="E639" s="9" t="s">
        <v>3453</v>
      </c>
      <c r="F639" s="9" t="s">
        <v>3454</v>
      </c>
      <c r="G639" s="9" t="s">
        <v>3455</v>
      </c>
      <c r="H639" s="9" t="s">
        <v>3456</v>
      </c>
      <c r="I639" s="9">
        <v>2026</v>
      </c>
      <c r="J639" s="9" t="s">
        <v>158</v>
      </c>
      <c r="K639" s="9" t="s">
        <v>3457</v>
      </c>
      <c r="L639" s="9" t="s">
        <v>3458</v>
      </c>
      <c r="M639" s="9" t="s">
        <v>3340</v>
      </c>
      <c r="N639" s="9" t="s">
        <v>3340</v>
      </c>
      <c r="O639" s="9" t="s">
        <v>113</v>
      </c>
      <c r="P639" s="9">
        <v>1</v>
      </c>
      <c r="Q639" s="9"/>
      <c r="R639" s="9"/>
      <c r="S639" s="9" t="s">
        <v>3341</v>
      </c>
    </row>
    <row r="640" spans="1:19">
      <c r="A640" s="9" t="s">
        <v>74</v>
      </c>
      <c r="B640" s="9" t="s">
        <v>3333</v>
      </c>
      <c r="C640" s="9" t="s">
        <v>77</v>
      </c>
      <c r="D640" s="9" t="s">
        <v>3459</v>
      </c>
      <c r="E640" s="9" t="s">
        <v>3460</v>
      </c>
      <c r="F640" s="9" t="s">
        <v>3461</v>
      </c>
      <c r="G640" s="9" t="s">
        <v>3462</v>
      </c>
      <c r="H640" s="9" t="s">
        <v>3463</v>
      </c>
      <c r="I640" s="9">
        <v>2026</v>
      </c>
      <c r="J640" s="9" t="s">
        <v>2239</v>
      </c>
      <c r="K640" s="9" t="s">
        <v>3464</v>
      </c>
      <c r="L640" s="9" t="s">
        <v>3465</v>
      </c>
      <c r="M640" s="9" t="s">
        <v>3346</v>
      </c>
      <c r="N640" s="9" t="s">
        <v>3346</v>
      </c>
      <c r="O640" s="9" t="s">
        <v>113</v>
      </c>
      <c r="P640" s="9">
        <v>1</v>
      </c>
      <c r="Q640" s="9"/>
      <c r="R640" s="9"/>
      <c r="S640" s="9" t="s">
        <v>3341</v>
      </c>
    </row>
    <row r="641" spans="1:19">
      <c r="A641" s="9" t="s">
        <v>74</v>
      </c>
      <c r="B641" s="9" t="s">
        <v>3333</v>
      </c>
      <c r="C641" s="9" t="s">
        <v>77</v>
      </c>
      <c r="D641" s="9" t="s">
        <v>3466</v>
      </c>
      <c r="E641" s="9" t="s">
        <v>3467</v>
      </c>
      <c r="F641" s="9" t="s">
        <v>1147</v>
      </c>
      <c r="G641" s="9" t="s">
        <v>3468</v>
      </c>
      <c r="H641" s="9" t="s">
        <v>1149</v>
      </c>
      <c r="I641" s="9">
        <v>2025</v>
      </c>
      <c r="J641" s="9" t="s">
        <v>158</v>
      </c>
      <c r="K641" s="9" t="s">
        <v>3450</v>
      </c>
      <c r="L641" s="9" t="s">
        <v>3469</v>
      </c>
      <c r="M641" s="9" t="s">
        <v>3340</v>
      </c>
      <c r="N641" s="9" t="s">
        <v>3340</v>
      </c>
      <c r="O641" s="9" t="s">
        <v>113</v>
      </c>
      <c r="P641" s="9">
        <v>1</v>
      </c>
      <c r="Q641" s="9"/>
      <c r="R641" s="9"/>
      <c r="S641" s="9" t="s">
        <v>3341</v>
      </c>
    </row>
    <row r="642" spans="1:19">
      <c r="A642" s="9" t="s">
        <v>74</v>
      </c>
      <c r="B642" s="9" t="s">
        <v>3333</v>
      </c>
      <c r="C642" s="9" t="s">
        <v>77</v>
      </c>
      <c r="D642" s="9" t="s">
        <v>3470</v>
      </c>
      <c r="E642" s="9" t="s">
        <v>3471</v>
      </c>
      <c r="F642" s="9" t="s">
        <v>3472</v>
      </c>
      <c r="G642" s="9" t="s">
        <v>3473</v>
      </c>
      <c r="H642" s="9" t="s">
        <v>3474</v>
      </c>
      <c r="I642" s="9">
        <v>2023</v>
      </c>
      <c r="J642" s="9" t="s">
        <v>109</v>
      </c>
      <c r="K642" s="9" t="s">
        <v>3475</v>
      </c>
      <c r="L642" s="9" t="s">
        <v>3476</v>
      </c>
      <c r="M642" s="9" t="s">
        <v>3340</v>
      </c>
      <c r="N642" s="9" t="s">
        <v>3340</v>
      </c>
      <c r="O642" s="9" t="s">
        <v>113</v>
      </c>
      <c r="P642" s="9">
        <v>1</v>
      </c>
      <c r="Q642" s="9"/>
      <c r="R642" s="9"/>
      <c r="S642" s="9" t="s">
        <v>3341</v>
      </c>
    </row>
    <row r="643" spans="1:19">
      <c r="A643" s="9" t="s">
        <v>74</v>
      </c>
      <c r="B643" s="9" t="s">
        <v>3333</v>
      </c>
      <c r="C643" s="9" t="s">
        <v>77</v>
      </c>
      <c r="D643" s="9" t="s">
        <v>3477</v>
      </c>
      <c r="E643" s="9" t="s">
        <v>3478</v>
      </c>
      <c r="F643" s="9" t="s">
        <v>2694</v>
      </c>
      <c r="G643" s="9" t="s">
        <v>3478</v>
      </c>
      <c r="H643" s="9" t="s">
        <v>846</v>
      </c>
      <c r="I643" s="9">
        <v>2023</v>
      </c>
      <c r="J643" s="9" t="s">
        <v>130</v>
      </c>
      <c r="K643" s="9" t="s">
        <v>3475</v>
      </c>
      <c r="L643" s="9" t="s">
        <v>3476</v>
      </c>
      <c r="M643" s="9" t="s">
        <v>3340</v>
      </c>
      <c r="N643" s="9" t="s">
        <v>3340</v>
      </c>
      <c r="O643" s="9" t="s">
        <v>113</v>
      </c>
      <c r="P643" s="9">
        <v>1</v>
      </c>
      <c r="Q643" s="9"/>
      <c r="R643" s="9"/>
      <c r="S643" s="9" t="s">
        <v>3341</v>
      </c>
    </row>
    <row r="644" spans="1:19">
      <c r="A644" s="9" t="s">
        <v>74</v>
      </c>
      <c r="B644" s="9" t="s">
        <v>3333</v>
      </c>
      <c r="C644" s="9" t="s">
        <v>77</v>
      </c>
      <c r="D644" s="9" t="s">
        <v>3479</v>
      </c>
      <c r="E644" s="9" t="s">
        <v>3480</v>
      </c>
      <c r="F644" s="9" t="s">
        <v>3472</v>
      </c>
      <c r="G644" s="9" t="s">
        <v>3481</v>
      </c>
      <c r="H644" s="9" t="s">
        <v>3482</v>
      </c>
      <c r="I644" s="9">
        <v>2022</v>
      </c>
      <c r="J644" s="9" t="s">
        <v>158</v>
      </c>
      <c r="K644" s="9" t="s">
        <v>3475</v>
      </c>
      <c r="L644" s="9" t="s">
        <v>3476</v>
      </c>
      <c r="M644" s="9" t="s">
        <v>3340</v>
      </c>
      <c r="N644" s="9" t="s">
        <v>3340</v>
      </c>
      <c r="O644" s="9" t="s">
        <v>113</v>
      </c>
      <c r="P644" s="9">
        <v>1</v>
      </c>
      <c r="Q644" s="9"/>
      <c r="R644" s="9"/>
      <c r="S644" s="9" t="s">
        <v>3341</v>
      </c>
    </row>
    <row r="645" spans="1:19">
      <c r="A645" s="9" t="s">
        <v>74</v>
      </c>
      <c r="B645" s="9" t="s">
        <v>3333</v>
      </c>
      <c r="C645" s="9" t="s">
        <v>77</v>
      </c>
      <c r="D645" s="9" t="s">
        <v>3483</v>
      </c>
      <c r="E645" s="9" t="s">
        <v>3484</v>
      </c>
      <c r="F645" s="9" t="s">
        <v>1147</v>
      </c>
      <c r="G645" s="9" t="s">
        <v>3484</v>
      </c>
      <c r="H645" s="9" t="s">
        <v>1149</v>
      </c>
      <c r="I645" s="9">
        <v>2025</v>
      </c>
      <c r="J645" s="9" t="s">
        <v>3388</v>
      </c>
      <c r="K645" s="9" t="s">
        <v>3485</v>
      </c>
      <c r="L645" s="9" t="s">
        <v>3451</v>
      </c>
      <c r="M645" s="9" t="s">
        <v>3340</v>
      </c>
      <c r="N645" s="9" t="s">
        <v>3340</v>
      </c>
      <c r="O645" s="9" t="s">
        <v>113</v>
      </c>
      <c r="P645" s="9">
        <v>1</v>
      </c>
      <c r="Q645" s="9"/>
      <c r="R645" s="9"/>
      <c r="S645" s="9" t="s">
        <v>3341</v>
      </c>
    </row>
    <row r="646" spans="1:19">
      <c r="A646" s="9" t="s">
        <v>74</v>
      </c>
      <c r="B646" s="9" t="s">
        <v>3333</v>
      </c>
      <c r="C646" s="9" t="s">
        <v>77</v>
      </c>
      <c r="D646" s="9" t="s">
        <v>3486</v>
      </c>
      <c r="E646" s="9" t="s">
        <v>3487</v>
      </c>
      <c r="F646" s="9" t="s">
        <v>3472</v>
      </c>
      <c r="G646" s="9" t="s">
        <v>3488</v>
      </c>
      <c r="H646" s="9" t="s">
        <v>3489</v>
      </c>
      <c r="I646" s="9">
        <v>2023</v>
      </c>
      <c r="J646" s="9" t="s">
        <v>351</v>
      </c>
      <c r="K646" s="9" t="s">
        <v>3475</v>
      </c>
      <c r="L646" s="9" t="s">
        <v>3476</v>
      </c>
      <c r="M646" s="9" t="s">
        <v>3346</v>
      </c>
      <c r="N646" s="9" t="s">
        <v>3346</v>
      </c>
      <c r="O646" s="9" t="s">
        <v>113</v>
      </c>
      <c r="P646" s="9">
        <v>1</v>
      </c>
      <c r="Q646" s="9"/>
      <c r="R646" s="9"/>
      <c r="S646" s="9" t="s">
        <v>3341</v>
      </c>
    </row>
    <row r="647" spans="1:19">
      <c r="A647" s="9" t="s">
        <v>74</v>
      </c>
      <c r="B647" s="9" t="s">
        <v>3333</v>
      </c>
      <c r="C647" s="9" t="s">
        <v>77</v>
      </c>
      <c r="D647" s="9" t="s">
        <v>3490</v>
      </c>
      <c r="E647" s="9" t="s">
        <v>3491</v>
      </c>
      <c r="F647" s="9" t="s">
        <v>1147</v>
      </c>
      <c r="G647" s="9" t="s">
        <v>3492</v>
      </c>
      <c r="H647" s="9" t="s">
        <v>1149</v>
      </c>
      <c r="I647" s="9">
        <v>2025</v>
      </c>
      <c r="J647" s="9" t="s">
        <v>158</v>
      </c>
      <c r="K647" s="9" t="s">
        <v>3485</v>
      </c>
      <c r="L647" s="9" t="s">
        <v>3493</v>
      </c>
      <c r="M647" s="9" t="s">
        <v>3340</v>
      </c>
      <c r="N647" s="9" t="s">
        <v>3340</v>
      </c>
      <c r="O647" s="9" t="s">
        <v>113</v>
      </c>
      <c r="P647" s="9">
        <v>1</v>
      </c>
      <c r="Q647" s="9"/>
      <c r="R647" s="9"/>
      <c r="S647" s="9" t="s">
        <v>3341</v>
      </c>
    </row>
    <row r="648" spans="1:19">
      <c r="A648" s="9" t="s">
        <v>74</v>
      </c>
      <c r="B648" s="9" t="s">
        <v>3333</v>
      </c>
      <c r="C648" s="9" t="s">
        <v>77</v>
      </c>
      <c r="D648" s="9" t="s">
        <v>3494</v>
      </c>
      <c r="E648" s="9" t="s">
        <v>3495</v>
      </c>
      <c r="F648" s="9" t="s">
        <v>3472</v>
      </c>
      <c r="G648" s="9" t="s">
        <v>3495</v>
      </c>
      <c r="H648" s="9" t="s">
        <v>3482</v>
      </c>
      <c r="I648" s="9">
        <v>2022</v>
      </c>
      <c r="J648" s="9" t="s">
        <v>3388</v>
      </c>
      <c r="K648" s="9" t="s">
        <v>3475</v>
      </c>
      <c r="L648" s="9" t="s">
        <v>3476</v>
      </c>
      <c r="M648" s="9" t="s">
        <v>3340</v>
      </c>
      <c r="N648" s="9" t="s">
        <v>3340</v>
      </c>
      <c r="O648" s="9" t="s">
        <v>113</v>
      </c>
      <c r="P648" s="9">
        <v>1</v>
      </c>
      <c r="Q648" s="9"/>
      <c r="R648" s="9"/>
      <c r="S648" s="9" t="s">
        <v>3341</v>
      </c>
    </row>
    <row r="649" spans="1:19">
      <c r="A649" s="9" t="s">
        <v>74</v>
      </c>
      <c r="B649" s="9" t="s">
        <v>3333</v>
      </c>
      <c r="C649" s="9" t="s">
        <v>77</v>
      </c>
      <c r="D649" s="9" t="s">
        <v>3496</v>
      </c>
      <c r="E649" s="9" t="s">
        <v>3497</v>
      </c>
      <c r="F649" s="9" t="s">
        <v>3498</v>
      </c>
      <c r="G649" s="9" t="s">
        <v>3499</v>
      </c>
      <c r="H649" s="9" t="s">
        <v>3500</v>
      </c>
      <c r="I649" s="9">
        <v>2024</v>
      </c>
      <c r="J649" s="9" t="s">
        <v>158</v>
      </c>
      <c r="K649" s="9" t="s">
        <v>3501</v>
      </c>
      <c r="L649" s="9" t="s">
        <v>3502</v>
      </c>
      <c r="M649" s="9" t="s">
        <v>3340</v>
      </c>
      <c r="N649" s="9" t="s">
        <v>3340</v>
      </c>
      <c r="O649" s="9" t="s">
        <v>113</v>
      </c>
      <c r="P649" s="9">
        <v>1</v>
      </c>
      <c r="Q649" s="9"/>
      <c r="R649" s="9"/>
      <c r="S649" s="9" t="s">
        <v>3341</v>
      </c>
    </row>
    <row r="650" spans="1:19">
      <c r="A650" s="9" t="s">
        <v>74</v>
      </c>
      <c r="B650" s="9" t="s">
        <v>3333</v>
      </c>
      <c r="C650" s="9" t="s">
        <v>77</v>
      </c>
      <c r="D650" s="9" t="s">
        <v>3503</v>
      </c>
      <c r="E650" s="9" t="s">
        <v>3504</v>
      </c>
      <c r="F650" s="9" t="s">
        <v>2869</v>
      </c>
      <c r="G650" s="9" t="s">
        <v>3505</v>
      </c>
      <c r="H650" s="9" t="s">
        <v>3506</v>
      </c>
      <c r="I650" s="9">
        <v>2024</v>
      </c>
      <c r="J650" s="9" t="s">
        <v>2239</v>
      </c>
      <c r="K650" s="9" t="s">
        <v>3507</v>
      </c>
      <c r="L650" s="9" t="s">
        <v>3508</v>
      </c>
      <c r="M650" s="9" t="s">
        <v>3346</v>
      </c>
      <c r="N650" s="9" t="s">
        <v>3346</v>
      </c>
      <c r="O650" s="9" t="s">
        <v>113</v>
      </c>
      <c r="P650" s="9">
        <v>1</v>
      </c>
      <c r="Q650" s="9"/>
      <c r="R650" s="9"/>
      <c r="S650" s="9" t="s">
        <v>3341</v>
      </c>
    </row>
    <row r="651" spans="1:19">
      <c r="A651" s="9" t="s">
        <v>74</v>
      </c>
      <c r="B651" s="9" t="s">
        <v>3333</v>
      </c>
      <c r="C651" s="9" t="s">
        <v>77</v>
      </c>
      <c r="D651" s="9" t="s">
        <v>3509</v>
      </c>
      <c r="E651" s="9" t="s">
        <v>3510</v>
      </c>
      <c r="F651" s="9" t="s">
        <v>3511</v>
      </c>
      <c r="G651" s="9" t="s">
        <v>3512</v>
      </c>
      <c r="H651" s="9" t="s">
        <v>3513</v>
      </c>
      <c r="I651" s="9">
        <v>2024</v>
      </c>
      <c r="J651" s="9" t="s">
        <v>158</v>
      </c>
      <c r="K651" s="9" t="s">
        <v>3514</v>
      </c>
      <c r="L651" s="9" t="s">
        <v>3515</v>
      </c>
      <c r="M651" s="9" t="s">
        <v>3340</v>
      </c>
      <c r="N651" s="9" t="s">
        <v>3340</v>
      </c>
      <c r="O651" s="9" t="s">
        <v>113</v>
      </c>
      <c r="P651" s="9">
        <v>1</v>
      </c>
      <c r="Q651" s="9"/>
      <c r="R651" s="9"/>
      <c r="S651" s="9" t="s">
        <v>3341</v>
      </c>
    </row>
    <row r="652" spans="1:19">
      <c r="A652" s="9" t="s">
        <v>74</v>
      </c>
      <c r="B652" s="9" t="s">
        <v>3333</v>
      </c>
      <c r="C652" s="9" t="s">
        <v>77</v>
      </c>
      <c r="D652" s="9" t="s">
        <v>3516</v>
      </c>
      <c r="E652" s="9" t="s">
        <v>3517</v>
      </c>
      <c r="F652" s="9" t="s">
        <v>3518</v>
      </c>
      <c r="G652" s="9" t="s">
        <v>3519</v>
      </c>
      <c r="H652" s="9" t="s">
        <v>3202</v>
      </c>
      <c r="I652" s="9">
        <v>2015</v>
      </c>
      <c r="J652" s="9" t="s">
        <v>351</v>
      </c>
      <c r="K652" s="9" t="s">
        <v>3429</v>
      </c>
      <c r="L652" s="9" t="s">
        <v>3520</v>
      </c>
      <c r="M652" s="9" t="s">
        <v>3346</v>
      </c>
      <c r="N652" s="9" t="s">
        <v>3346</v>
      </c>
      <c r="O652" s="9" t="s">
        <v>113</v>
      </c>
      <c r="P652" s="9">
        <v>1</v>
      </c>
      <c r="Q652" s="9"/>
      <c r="R652" s="9"/>
      <c r="S652" s="9" t="s">
        <v>3341</v>
      </c>
    </row>
    <row r="653" spans="1:19">
      <c r="A653" s="9" t="s">
        <v>74</v>
      </c>
      <c r="B653" s="9" t="s">
        <v>3333</v>
      </c>
      <c r="C653" s="9" t="s">
        <v>77</v>
      </c>
      <c r="D653" s="9" t="s">
        <v>3521</v>
      </c>
      <c r="E653" s="9" t="s">
        <v>3522</v>
      </c>
      <c r="F653" s="9" t="s">
        <v>3398</v>
      </c>
      <c r="G653" s="9" t="s">
        <v>3523</v>
      </c>
      <c r="H653" s="9" t="s">
        <v>3524</v>
      </c>
      <c r="I653" s="9">
        <v>2019</v>
      </c>
      <c r="J653" s="9" t="s">
        <v>109</v>
      </c>
      <c r="K653" s="9" t="s">
        <v>3525</v>
      </c>
      <c r="L653" s="9" t="s">
        <v>3526</v>
      </c>
      <c r="M653" s="9" t="s">
        <v>3340</v>
      </c>
      <c r="N653" s="9" t="s">
        <v>3340</v>
      </c>
      <c r="O653" s="9" t="s">
        <v>113</v>
      </c>
      <c r="P653" s="9">
        <v>1</v>
      </c>
      <c r="Q653" s="9"/>
      <c r="R653" s="9"/>
      <c r="S653" s="9" t="s">
        <v>3341</v>
      </c>
    </row>
    <row r="654" spans="1:19">
      <c r="A654" s="9" t="s">
        <v>74</v>
      </c>
      <c r="B654" s="9" t="s">
        <v>3333</v>
      </c>
      <c r="C654" s="9" t="s">
        <v>77</v>
      </c>
      <c r="D654" s="9" t="s">
        <v>3527</v>
      </c>
      <c r="E654" s="9" t="s">
        <v>3528</v>
      </c>
      <c r="F654" s="9" t="s">
        <v>3398</v>
      </c>
      <c r="G654" s="9" t="s">
        <v>3528</v>
      </c>
      <c r="H654" s="9" t="s">
        <v>3524</v>
      </c>
      <c r="I654" s="9">
        <v>2019</v>
      </c>
      <c r="J654" s="9" t="s">
        <v>1942</v>
      </c>
      <c r="K654" s="9" t="s">
        <v>3529</v>
      </c>
      <c r="L654" s="9" t="s">
        <v>3530</v>
      </c>
      <c r="M654" s="9" t="s">
        <v>3340</v>
      </c>
      <c r="N654" s="9" t="s">
        <v>3340</v>
      </c>
      <c r="O654" s="9" t="s">
        <v>113</v>
      </c>
      <c r="P654" s="9">
        <v>1</v>
      </c>
      <c r="Q654" s="9"/>
      <c r="R654" s="9"/>
      <c r="S654" s="9" t="s">
        <v>3341</v>
      </c>
    </row>
    <row r="655" spans="1:19">
      <c r="A655" s="9" t="s">
        <v>74</v>
      </c>
      <c r="B655" s="9" t="s">
        <v>3333</v>
      </c>
      <c r="C655" s="9" t="s">
        <v>77</v>
      </c>
      <c r="D655" s="9" t="s">
        <v>3531</v>
      </c>
      <c r="E655" s="9" t="s">
        <v>3532</v>
      </c>
      <c r="F655" s="9" t="s">
        <v>3398</v>
      </c>
      <c r="G655" s="9" t="s">
        <v>3532</v>
      </c>
      <c r="H655" s="9" t="s">
        <v>3533</v>
      </c>
      <c r="I655" s="9">
        <v>2020</v>
      </c>
      <c r="J655" s="9" t="s">
        <v>2279</v>
      </c>
      <c r="K655" s="9" t="s">
        <v>3529</v>
      </c>
      <c r="L655" s="9" t="s">
        <v>3534</v>
      </c>
      <c r="M655" s="9" t="s">
        <v>3340</v>
      </c>
      <c r="N655" s="9" t="s">
        <v>3340</v>
      </c>
      <c r="O655" s="9" t="s">
        <v>113</v>
      </c>
      <c r="P655" s="9">
        <v>1</v>
      </c>
      <c r="Q655" s="9"/>
      <c r="R655" s="9"/>
      <c r="S655" s="9" t="s">
        <v>3341</v>
      </c>
    </row>
    <row r="656" spans="1:19">
      <c r="A656" s="9" t="s">
        <v>74</v>
      </c>
      <c r="B656" s="9" t="s">
        <v>3333</v>
      </c>
      <c r="C656" s="9" t="s">
        <v>77</v>
      </c>
      <c r="D656" s="9" t="s">
        <v>3535</v>
      </c>
      <c r="E656" s="9" t="s">
        <v>3536</v>
      </c>
      <c r="F656" s="9" t="s">
        <v>3398</v>
      </c>
      <c r="G656" s="9" t="s">
        <v>3536</v>
      </c>
      <c r="H656" s="9" t="s">
        <v>3537</v>
      </c>
      <c r="I656" s="9">
        <v>2021</v>
      </c>
      <c r="J656" s="9" t="s">
        <v>2360</v>
      </c>
      <c r="K656" s="9" t="s">
        <v>3538</v>
      </c>
      <c r="L656" s="9" t="s">
        <v>3539</v>
      </c>
      <c r="M656" s="9" t="s">
        <v>3340</v>
      </c>
      <c r="N656" s="9" t="s">
        <v>3340</v>
      </c>
      <c r="O656" s="9" t="s">
        <v>113</v>
      </c>
      <c r="P656" s="9">
        <v>1</v>
      </c>
      <c r="Q656" s="9"/>
      <c r="R656" s="9"/>
      <c r="S656" s="9" t="s">
        <v>3341</v>
      </c>
    </row>
    <row r="657" spans="1:19">
      <c r="A657" s="9" t="s">
        <v>74</v>
      </c>
      <c r="B657" s="9" t="s">
        <v>3333</v>
      </c>
      <c r="C657" s="9" t="s">
        <v>77</v>
      </c>
      <c r="D657" s="9" t="s">
        <v>3540</v>
      </c>
      <c r="E657" s="9" t="s">
        <v>3541</v>
      </c>
      <c r="F657" s="9" t="s">
        <v>3542</v>
      </c>
      <c r="G657" s="9" t="s">
        <v>3541</v>
      </c>
      <c r="H657" s="9" t="s">
        <v>3543</v>
      </c>
      <c r="I657" s="9">
        <v>2021</v>
      </c>
      <c r="J657" s="9" t="s">
        <v>130</v>
      </c>
      <c r="K657" s="9" t="s">
        <v>3529</v>
      </c>
      <c r="L657" s="9" t="s">
        <v>3544</v>
      </c>
      <c r="M657" s="9" t="s">
        <v>3340</v>
      </c>
      <c r="N657" s="9" t="s">
        <v>3340</v>
      </c>
      <c r="O657" s="9" t="s">
        <v>113</v>
      </c>
      <c r="P657" s="9">
        <v>1</v>
      </c>
      <c r="Q657" s="9"/>
      <c r="R657" s="9"/>
      <c r="S657" s="9" t="s">
        <v>3341</v>
      </c>
    </row>
    <row r="658" spans="1:19">
      <c r="A658" s="9" t="s">
        <v>74</v>
      </c>
      <c r="B658" s="9" t="s">
        <v>3333</v>
      </c>
      <c r="C658" s="9" t="s">
        <v>77</v>
      </c>
      <c r="D658" s="9" t="s">
        <v>3545</v>
      </c>
      <c r="E658" s="9" t="s">
        <v>3546</v>
      </c>
      <c r="F658" s="9" t="s">
        <v>3398</v>
      </c>
      <c r="G658" s="9" t="s">
        <v>3547</v>
      </c>
      <c r="H658" s="9" t="s">
        <v>3548</v>
      </c>
      <c r="I658" s="9">
        <v>2021</v>
      </c>
      <c r="J658" s="9" t="s">
        <v>109</v>
      </c>
      <c r="K658" s="9" t="s">
        <v>3525</v>
      </c>
      <c r="L658" s="9" t="s">
        <v>3549</v>
      </c>
      <c r="M658" s="9" t="s">
        <v>3340</v>
      </c>
      <c r="N658" s="9" t="s">
        <v>3340</v>
      </c>
      <c r="O658" s="9" t="s">
        <v>113</v>
      </c>
      <c r="P658" s="9">
        <v>1</v>
      </c>
      <c r="Q658" s="9"/>
      <c r="R658" s="9"/>
      <c r="S658" s="9" t="s">
        <v>3341</v>
      </c>
    </row>
    <row r="659" spans="1:19">
      <c r="A659" s="9" t="s">
        <v>74</v>
      </c>
      <c r="B659" s="9" t="s">
        <v>3333</v>
      </c>
      <c r="C659" s="9" t="s">
        <v>77</v>
      </c>
      <c r="D659" s="9" t="s">
        <v>3550</v>
      </c>
      <c r="E659" s="9" t="s">
        <v>3551</v>
      </c>
      <c r="F659" s="9" t="s">
        <v>2830</v>
      </c>
      <c r="G659" s="9" t="s">
        <v>3551</v>
      </c>
      <c r="H659" s="9" t="s">
        <v>3552</v>
      </c>
      <c r="I659" s="9">
        <v>2022</v>
      </c>
      <c r="J659" s="9" t="s">
        <v>3388</v>
      </c>
      <c r="K659" s="9" t="s">
        <v>3553</v>
      </c>
      <c r="L659" s="9" t="s">
        <v>3554</v>
      </c>
      <c r="M659" s="9" t="s">
        <v>3340</v>
      </c>
      <c r="N659" s="9" t="s">
        <v>3340</v>
      </c>
      <c r="O659" s="9" t="s">
        <v>113</v>
      </c>
      <c r="P659" s="9">
        <v>1</v>
      </c>
      <c r="Q659" s="9"/>
      <c r="R659" s="9"/>
      <c r="S659" s="9" t="s">
        <v>3341</v>
      </c>
    </row>
    <row r="660" spans="1:19">
      <c r="A660" s="9" t="s">
        <v>74</v>
      </c>
      <c r="B660" s="9" t="s">
        <v>3333</v>
      </c>
      <c r="C660" s="9" t="s">
        <v>77</v>
      </c>
      <c r="D660" s="9" t="s">
        <v>3555</v>
      </c>
      <c r="E660" s="9" t="s">
        <v>3556</v>
      </c>
      <c r="F660" s="9" t="s">
        <v>720</v>
      </c>
      <c r="G660" s="9" t="s">
        <v>3557</v>
      </c>
      <c r="H660" s="9" t="s">
        <v>2820</v>
      </c>
      <c r="I660" s="9">
        <v>2023</v>
      </c>
      <c r="J660" s="9" t="s">
        <v>109</v>
      </c>
      <c r="K660" s="9" t="s">
        <v>3525</v>
      </c>
      <c r="L660" s="9" t="s">
        <v>3558</v>
      </c>
      <c r="M660" s="9" t="s">
        <v>3340</v>
      </c>
      <c r="N660" s="9" t="s">
        <v>3340</v>
      </c>
      <c r="O660" s="9" t="s">
        <v>113</v>
      </c>
      <c r="P660" s="9">
        <v>1</v>
      </c>
      <c r="Q660" s="9"/>
      <c r="R660" s="9"/>
      <c r="S660" s="9" t="s">
        <v>3341</v>
      </c>
    </row>
    <row r="661" spans="1:19">
      <c r="A661" s="9" t="s">
        <v>74</v>
      </c>
      <c r="B661" s="9" t="s">
        <v>3333</v>
      </c>
      <c r="C661" s="9" t="s">
        <v>77</v>
      </c>
      <c r="D661" s="9" t="s">
        <v>3559</v>
      </c>
      <c r="E661" s="9" t="s">
        <v>3560</v>
      </c>
      <c r="F661" s="9" t="s">
        <v>2830</v>
      </c>
      <c r="G661" s="9" t="s">
        <v>3561</v>
      </c>
      <c r="H661" s="9" t="s">
        <v>893</v>
      </c>
      <c r="I661" s="9">
        <v>2024</v>
      </c>
      <c r="J661" s="9" t="s">
        <v>351</v>
      </c>
      <c r="K661" s="9" t="s">
        <v>3553</v>
      </c>
      <c r="L661" s="9" t="s">
        <v>3562</v>
      </c>
      <c r="M661" s="9" t="s">
        <v>3346</v>
      </c>
      <c r="N661" s="9" t="s">
        <v>3346</v>
      </c>
      <c r="O661" s="9" t="s">
        <v>113</v>
      </c>
      <c r="P661" s="9">
        <v>1</v>
      </c>
      <c r="Q661" s="9"/>
      <c r="R661" s="9"/>
      <c r="S661" s="9" t="s">
        <v>3341</v>
      </c>
    </row>
    <row r="662" spans="1:19">
      <c r="A662" s="9" t="s">
        <v>74</v>
      </c>
      <c r="B662" s="9" t="s">
        <v>3333</v>
      </c>
      <c r="C662" s="9" t="s">
        <v>77</v>
      </c>
      <c r="D662" s="9" t="s">
        <v>3563</v>
      </c>
      <c r="E662" s="9" t="s">
        <v>3564</v>
      </c>
      <c r="F662" s="9" t="s">
        <v>3518</v>
      </c>
      <c r="G662" s="9" t="s">
        <v>3565</v>
      </c>
      <c r="H662" s="9" t="s">
        <v>3566</v>
      </c>
      <c r="I662" s="9">
        <v>2024</v>
      </c>
      <c r="J662" s="9" t="s">
        <v>351</v>
      </c>
      <c r="K662" s="9" t="s">
        <v>3429</v>
      </c>
      <c r="L662" s="9" t="s">
        <v>3520</v>
      </c>
      <c r="M662" s="9" t="s">
        <v>3346</v>
      </c>
      <c r="N662" s="9" t="s">
        <v>3346</v>
      </c>
      <c r="O662" s="9" t="s">
        <v>113</v>
      </c>
      <c r="P662" s="9">
        <v>1</v>
      </c>
      <c r="Q662" s="9"/>
      <c r="R662" s="9"/>
      <c r="S662" s="9" t="s">
        <v>3341</v>
      </c>
    </row>
    <row r="663" spans="1:19">
      <c r="A663" s="9" t="s">
        <v>74</v>
      </c>
      <c r="B663" s="9" t="s">
        <v>3333</v>
      </c>
      <c r="C663" s="9" t="s">
        <v>77</v>
      </c>
      <c r="D663" s="9" t="s">
        <v>3567</v>
      </c>
      <c r="E663" s="9" t="s">
        <v>3568</v>
      </c>
      <c r="F663" s="9" t="s">
        <v>2830</v>
      </c>
      <c r="G663" s="9" t="s">
        <v>3569</v>
      </c>
      <c r="H663" s="9" t="s">
        <v>3570</v>
      </c>
      <c r="I663" s="9">
        <v>2024</v>
      </c>
      <c r="J663" s="9" t="s">
        <v>109</v>
      </c>
      <c r="K663" s="9" t="s">
        <v>3553</v>
      </c>
      <c r="L663" s="9" t="s">
        <v>3571</v>
      </c>
      <c r="M663" s="9" t="s">
        <v>3340</v>
      </c>
      <c r="N663" s="9" t="s">
        <v>3340</v>
      </c>
      <c r="O663" s="9" t="s">
        <v>113</v>
      </c>
      <c r="P663" s="9">
        <v>1</v>
      </c>
      <c r="Q663" s="9"/>
      <c r="R663" s="9"/>
      <c r="S663" s="9" t="s">
        <v>3341</v>
      </c>
    </row>
    <row r="664" spans="1:19">
      <c r="A664" s="9" t="s">
        <v>74</v>
      </c>
      <c r="B664" s="9" t="s">
        <v>3333</v>
      </c>
      <c r="C664" s="9" t="s">
        <v>77</v>
      </c>
      <c r="D664" s="9" t="s">
        <v>3572</v>
      </c>
      <c r="E664" s="9" t="s">
        <v>3573</v>
      </c>
      <c r="F664" s="9" t="s">
        <v>3574</v>
      </c>
      <c r="G664" s="9" t="s">
        <v>3575</v>
      </c>
      <c r="H664" s="9" t="s">
        <v>1004</v>
      </c>
      <c r="I664" s="9">
        <v>2025</v>
      </c>
      <c r="J664" s="9" t="s">
        <v>109</v>
      </c>
      <c r="K664" s="9" t="s">
        <v>3529</v>
      </c>
      <c r="L664" s="9" t="s">
        <v>3558</v>
      </c>
      <c r="M664" s="9" t="s">
        <v>3340</v>
      </c>
      <c r="N664" s="9" t="s">
        <v>3340</v>
      </c>
      <c r="O664" s="9" t="s">
        <v>113</v>
      </c>
      <c r="P664" s="9">
        <v>1</v>
      </c>
      <c r="Q664" s="9"/>
      <c r="R664" s="9"/>
      <c r="S664" s="9" t="s">
        <v>3341</v>
      </c>
    </row>
    <row r="665" spans="1:19">
      <c r="A665" s="9" t="s">
        <v>74</v>
      </c>
      <c r="B665" s="9" t="s">
        <v>3333</v>
      </c>
      <c r="C665" s="9" t="s">
        <v>77</v>
      </c>
      <c r="D665" s="9" t="s">
        <v>3576</v>
      </c>
      <c r="E665" s="9" t="s">
        <v>3577</v>
      </c>
      <c r="F665" s="9" t="s">
        <v>3398</v>
      </c>
      <c r="G665" s="9" t="s">
        <v>3577</v>
      </c>
      <c r="H665" s="9" t="s">
        <v>3524</v>
      </c>
      <c r="I665" s="9">
        <v>2019</v>
      </c>
      <c r="J665" s="9" t="s">
        <v>1942</v>
      </c>
      <c r="K665" s="9" t="s">
        <v>3529</v>
      </c>
      <c r="L665" s="9"/>
      <c r="M665" s="9" t="s">
        <v>3340</v>
      </c>
      <c r="N665" s="9" t="s">
        <v>3340</v>
      </c>
      <c r="O665" s="9" t="s">
        <v>113</v>
      </c>
      <c r="P665" s="9">
        <v>1</v>
      </c>
      <c r="Q665" s="9"/>
      <c r="R665" s="9"/>
      <c r="S665" s="9" t="s">
        <v>3341</v>
      </c>
    </row>
    <row r="666" spans="1:19">
      <c r="A666" s="9" t="s">
        <v>74</v>
      </c>
      <c r="B666" s="9" t="s">
        <v>3333</v>
      </c>
      <c r="C666" s="9" t="s">
        <v>77</v>
      </c>
      <c r="D666" s="9" t="s">
        <v>3578</v>
      </c>
      <c r="E666" s="9" t="s">
        <v>3517</v>
      </c>
      <c r="F666" s="9" t="s">
        <v>3518</v>
      </c>
      <c r="G666" s="9" t="s">
        <v>3519</v>
      </c>
      <c r="H666" s="9" t="s">
        <v>1141</v>
      </c>
      <c r="I666" s="9">
        <v>2025</v>
      </c>
      <c r="J666" s="9" t="s">
        <v>3405</v>
      </c>
      <c r="K666" s="9" t="s">
        <v>3579</v>
      </c>
      <c r="L666" s="9" t="s">
        <v>3580</v>
      </c>
      <c r="M666" s="9" t="s">
        <v>3360</v>
      </c>
      <c r="N666" s="9" t="s">
        <v>3360</v>
      </c>
      <c r="O666" s="9" t="s">
        <v>113</v>
      </c>
      <c r="P666" s="9">
        <v>1</v>
      </c>
      <c r="Q666" s="9"/>
      <c r="R666" s="9"/>
      <c r="S666" s="9" t="s">
        <v>3341</v>
      </c>
    </row>
    <row r="667" spans="1:19">
      <c r="A667" s="9" t="s">
        <v>74</v>
      </c>
      <c r="B667" s="9" t="s">
        <v>3333</v>
      </c>
      <c r="C667" s="9" t="s">
        <v>77</v>
      </c>
      <c r="D667" s="9" t="s">
        <v>3581</v>
      </c>
      <c r="E667" s="9" t="s">
        <v>3517</v>
      </c>
      <c r="F667" s="9" t="s">
        <v>3518</v>
      </c>
      <c r="G667" s="9" t="s">
        <v>3582</v>
      </c>
      <c r="H667" s="9" t="s">
        <v>3583</v>
      </c>
      <c r="I667" s="9">
        <v>2025</v>
      </c>
      <c r="J667" s="9" t="s">
        <v>980</v>
      </c>
      <c r="K667" s="9" t="s">
        <v>3429</v>
      </c>
      <c r="L667" s="9" t="s">
        <v>3580</v>
      </c>
      <c r="M667" s="9" t="s">
        <v>3360</v>
      </c>
      <c r="N667" s="9" t="s">
        <v>3360</v>
      </c>
      <c r="O667" s="9" t="s">
        <v>113</v>
      </c>
      <c r="P667" s="9">
        <v>1</v>
      </c>
      <c r="Q667" s="9"/>
      <c r="R667" s="9"/>
      <c r="S667" s="9" t="s">
        <v>3341</v>
      </c>
    </row>
    <row r="668" spans="1:19">
      <c r="A668" s="9" t="s">
        <v>74</v>
      </c>
      <c r="B668" s="9" t="s">
        <v>3333</v>
      </c>
      <c r="C668" s="9" t="s">
        <v>77</v>
      </c>
      <c r="D668" s="9" t="s">
        <v>3584</v>
      </c>
      <c r="E668" s="9" t="s">
        <v>3585</v>
      </c>
      <c r="F668" s="9" t="s">
        <v>2830</v>
      </c>
      <c r="G668" s="9" t="s">
        <v>3585</v>
      </c>
      <c r="H668" s="9" t="s">
        <v>3552</v>
      </c>
      <c r="I668" s="9">
        <v>2022</v>
      </c>
      <c r="J668" s="9" t="s">
        <v>3388</v>
      </c>
      <c r="K668" s="9" t="s">
        <v>3553</v>
      </c>
      <c r="L668" s="9" t="s">
        <v>3554</v>
      </c>
      <c r="M668" s="9" t="s">
        <v>3340</v>
      </c>
      <c r="N668" s="9" t="s">
        <v>3340</v>
      </c>
      <c r="O668" s="9" t="s">
        <v>113</v>
      </c>
      <c r="P668" s="9">
        <v>1</v>
      </c>
      <c r="Q668" s="9"/>
      <c r="R668" s="9"/>
      <c r="S668" s="9" t="s">
        <v>3341</v>
      </c>
    </row>
    <row r="669" spans="1:19">
      <c r="A669" s="9" t="s">
        <v>74</v>
      </c>
      <c r="B669" s="9" t="s">
        <v>3333</v>
      </c>
      <c r="C669" s="9" t="s">
        <v>77</v>
      </c>
      <c r="D669" s="9" t="s">
        <v>3586</v>
      </c>
      <c r="E669" s="9" t="s">
        <v>3587</v>
      </c>
      <c r="F669" s="9" t="s">
        <v>2830</v>
      </c>
      <c r="G669" s="9" t="s">
        <v>3588</v>
      </c>
      <c r="H669" s="9" t="s">
        <v>3552</v>
      </c>
      <c r="I669" s="9">
        <v>2022</v>
      </c>
      <c r="J669" s="9" t="s">
        <v>158</v>
      </c>
      <c r="K669" s="9" t="s">
        <v>3553</v>
      </c>
      <c r="L669" s="9" t="s">
        <v>3589</v>
      </c>
      <c r="M669" s="9" t="s">
        <v>3340</v>
      </c>
      <c r="N669" s="9" t="s">
        <v>3340</v>
      </c>
      <c r="O669" s="9" t="s">
        <v>113</v>
      </c>
      <c r="P669" s="9">
        <v>1</v>
      </c>
      <c r="Q669" s="9"/>
      <c r="R669" s="9"/>
      <c r="S669" s="9" t="s">
        <v>3341</v>
      </c>
    </row>
    <row r="670" spans="1:19">
      <c r="A670" s="9" t="s">
        <v>74</v>
      </c>
      <c r="B670" s="9" t="s">
        <v>3333</v>
      </c>
      <c r="C670" s="9" t="s">
        <v>77</v>
      </c>
      <c r="D670" s="9" t="s">
        <v>3590</v>
      </c>
      <c r="E670" s="9" t="s">
        <v>3591</v>
      </c>
      <c r="F670" s="9" t="s">
        <v>3398</v>
      </c>
      <c r="G670" s="9" t="s">
        <v>3591</v>
      </c>
      <c r="H670" s="9" t="s">
        <v>3398</v>
      </c>
      <c r="I670" s="9">
        <v>2019</v>
      </c>
      <c r="J670" s="9" t="s">
        <v>2360</v>
      </c>
      <c r="K670" s="9" t="s">
        <v>3592</v>
      </c>
      <c r="L670" s="9" t="s">
        <v>3539</v>
      </c>
      <c r="M670" s="9" t="s">
        <v>3340</v>
      </c>
      <c r="N670" s="9" t="s">
        <v>3340</v>
      </c>
      <c r="O670" s="9" t="s">
        <v>113</v>
      </c>
      <c r="P670" s="9">
        <v>1</v>
      </c>
      <c r="Q670" s="9"/>
      <c r="R670" s="9"/>
      <c r="S670" s="9" t="s">
        <v>3341</v>
      </c>
    </row>
    <row r="671" spans="1:19">
      <c r="A671" s="9" t="s">
        <v>74</v>
      </c>
      <c r="B671" s="9" t="s">
        <v>3333</v>
      </c>
      <c r="C671" s="9" t="s">
        <v>77</v>
      </c>
      <c r="D671" s="9" t="s">
        <v>3593</v>
      </c>
      <c r="E671" s="9" t="s">
        <v>3594</v>
      </c>
      <c r="F671" s="9" t="s">
        <v>3398</v>
      </c>
      <c r="G671" s="9" t="s">
        <v>3594</v>
      </c>
      <c r="H671" s="9" t="s">
        <v>3595</v>
      </c>
      <c r="I671" s="9">
        <v>2025</v>
      </c>
      <c r="J671" s="9" t="s">
        <v>2360</v>
      </c>
      <c r="K671" s="9" t="s">
        <v>3596</v>
      </c>
      <c r="L671" s="9" t="s">
        <v>3539</v>
      </c>
      <c r="M671" s="9" t="s">
        <v>3340</v>
      </c>
      <c r="N671" s="9" t="s">
        <v>3340</v>
      </c>
      <c r="O671" s="9" t="s">
        <v>113</v>
      </c>
      <c r="P671" s="9">
        <v>1</v>
      </c>
      <c r="Q671" s="9"/>
      <c r="R671" s="9"/>
      <c r="S671" s="9" t="s">
        <v>3341</v>
      </c>
    </row>
    <row r="672" spans="1:19">
      <c r="A672" s="9" t="s">
        <v>74</v>
      </c>
      <c r="B672" s="9" t="s">
        <v>3333</v>
      </c>
      <c r="C672" s="9" t="s">
        <v>77</v>
      </c>
      <c r="D672" s="9" t="s">
        <v>3597</v>
      </c>
      <c r="E672" s="9" t="s">
        <v>3598</v>
      </c>
      <c r="F672" s="9" t="s">
        <v>3398</v>
      </c>
      <c r="G672" s="9" t="s">
        <v>3599</v>
      </c>
      <c r="H672" s="9" t="s">
        <v>3600</v>
      </c>
      <c r="I672" s="9">
        <v>2020</v>
      </c>
      <c r="J672" s="9" t="s">
        <v>158</v>
      </c>
      <c r="K672" s="9" t="s">
        <v>3529</v>
      </c>
      <c r="L672" s="9" t="s">
        <v>3534</v>
      </c>
      <c r="M672" s="9" t="s">
        <v>3340</v>
      </c>
      <c r="N672" s="9" t="s">
        <v>3340</v>
      </c>
      <c r="O672" s="9" t="s">
        <v>113</v>
      </c>
      <c r="P672" s="9">
        <v>1</v>
      </c>
      <c r="Q672" s="9"/>
      <c r="R672" s="9"/>
      <c r="S672" s="9" t="s">
        <v>3341</v>
      </c>
    </row>
    <row r="673" spans="1:19">
      <c r="A673" s="9" t="s">
        <v>74</v>
      </c>
      <c r="B673" s="9" t="s">
        <v>3333</v>
      </c>
      <c r="C673" s="9" t="s">
        <v>77</v>
      </c>
      <c r="D673" s="9" t="s">
        <v>3601</v>
      </c>
      <c r="E673" s="9" t="s">
        <v>3602</v>
      </c>
      <c r="F673" s="9" t="s">
        <v>3398</v>
      </c>
      <c r="G673" s="9" t="s">
        <v>3603</v>
      </c>
      <c r="H673" s="9" t="s">
        <v>2097</v>
      </c>
      <c r="I673" s="9">
        <v>2021</v>
      </c>
      <c r="J673" s="9" t="s">
        <v>351</v>
      </c>
      <c r="K673" s="9" t="s">
        <v>3529</v>
      </c>
      <c r="L673" s="9" t="s">
        <v>3534</v>
      </c>
      <c r="M673" s="9" t="s">
        <v>3346</v>
      </c>
      <c r="N673" s="9" t="s">
        <v>3346</v>
      </c>
      <c r="O673" s="9" t="s">
        <v>113</v>
      </c>
      <c r="P673" s="9">
        <v>1</v>
      </c>
      <c r="Q673" s="9"/>
      <c r="R673" s="9"/>
      <c r="S673" s="9" t="s">
        <v>3341</v>
      </c>
    </row>
    <row r="674" spans="1:19">
      <c r="A674" s="9" t="s">
        <v>74</v>
      </c>
      <c r="B674" s="9" t="s">
        <v>3333</v>
      </c>
      <c r="C674" s="9" t="s">
        <v>77</v>
      </c>
      <c r="D674" s="9" t="s">
        <v>3604</v>
      </c>
      <c r="E674" s="9" t="s">
        <v>3605</v>
      </c>
      <c r="F674" s="9" t="s">
        <v>3398</v>
      </c>
      <c r="G674" s="9" t="s">
        <v>3606</v>
      </c>
      <c r="H674" s="9" t="s">
        <v>3607</v>
      </c>
      <c r="I674" s="9">
        <v>2021</v>
      </c>
      <c r="J674" s="9" t="s">
        <v>351</v>
      </c>
      <c r="K674" s="9" t="s">
        <v>3529</v>
      </c>
      <c r="L674" s="9" t="s">
        <v>3534</v>
      </c>
      <c r="M674" s="9" t="s">
        <v>3346</v>
      </c>
      <c r="N674" s="9" t="s">
        <v>3346</v>
      </c>
      <c r="O674" s="9" t="s">
        <v>113</v>
      </c>
      <c r="P674" s="9">
        <v>1</v>
      </c>
      <c r="Q674" s="9"/>
      <c r="R674" s="9"/>
      <c r="S674" s="9" t="s">
        <v>3341</v>
      </c>
    </row>
    <row r="675" spans="1:19">
      <c r="A675" s="9" t="s">
        <v>74</v>
      </c>
      <c r="B675" s="9" t="s">
        <v>3333</v>
      </c>
      <c r="C675" s="9" t="s">
        <v>77</v>
      </c>
      <c r="D675" s="9" t="s">
        <v>3608</v>
      </c>
      <c r="E675" s="9" t="s">
        <v>3609</v>
      </c>
      <c r="F675" s="9" t="s">
        <v>3518</v>
      </c>
      <c r="G675" s="9" t="s">
        <v>3610</v>
      </c>
      <c r="H675" s="9" t="s">
        <v>1122</v>
      </c>
      <c r="I675" s="9">
        <v>2025</v>
      </c>
      <c r="J675" s="9" t="s">
        <v>3611</v>
      </c>
      <c r="K675" s="9" t="s">
        <v>3429</v>
      </c>
      <c r="L675" s="9" t="s">
        <v>3580</v>
      </c>
      <c r="M675" s="9" t="s">
        <v>3360</v>
      </c>
      <c r="N675" s="9" t="s">
        <v>3360</v>
      </c>
      <c r="O675" s="9" t="s">
        <v>113</v>
      </c>
      <c r="P675" s="9">
        <v>1</v>
      </c>
      <c r="Q675" s="9"/>
      <c r="R675" s="9"/>
      <c r="S675" s="9" t="s">
        <v>3341</v>
      </c>
    </row>
    <row r="676" spans="1:19">
      <c r="A676" s="9" t="s">
        <v>74</v>
      </c>
      <c r="B676" s="9" t="s">
        <v>3333</v>
      </c>
      <c r="C676" s="9" t="s">
        <v>77</v>
      </c>
      <c r="D676" s="9" t="s">
        <v>3612</v>
      </c>
      <c r="E676" s="9" t="s">
        <v>3613</v>
      </c>
      <c r="F676" s="9" t="s">
        <v>3398</v>
      </c>
      <c r="G676" s="9" t="s">
        <v>3613</v>
      </c>
      <c r="H676" s="9" t="s">
        <v>3600</v>
      </c>
      <c r="I676" s="9">
        <v>2020</v>
      </c>
      <c r="J676" s="9" t="s">
        <v>3388</v>
      </c>
      <c r="K676" s="9" t="s">
        <v>3529</v>
      </c>
      <c r="L676" s="9" t="s">
        <v>3534</v>
      </c>
      <c r="M676" s="9" t="s">
        <v>3340</v>
      </c>
      <c r="N676" s="9" t="s">
        <v>3340</v>
      </c>
      <c r="O676" s="9" t="s">
        <v>113</v>
      </c>
      <c r="P676" s="9">
        <v>1</v>
      </c>
      <c r="Q676" s="9"/>
      <c r="R676" s="9"/>
      <c r="S676" s="9" t="s">
        <v>3341</v>
      </c>
    </row>
    <row r="677" spans="1:19">
      <c r="A677" s="9" t="s">
        <v>74</v>
      </c>
      <c r="B677" s="9" t="s">
        <v>3333</v>
      </c>
      <c r="C677" s="9" t="s">
        <v>77</v>
      </c>
      <c r="D677" s="9" t="s">
        <v>3614</v>
      </c>
      <c r="E677" s="9" t="s">
        <v>3615</v>
      </c>
      <c r="F677" s="9" t="s">
        <v>3398</v>
      </c>
      <c r="G677" s="9" t="s">
        <v>3615</v>
      </c>
      <c r="H677" s="9" t="s">
        <v>3600</v>
      </c>
      <c r="I677" s="9">
        <v>2020</v>
      </c>
      <c r="J677" s="9" t="s">
        <v>731</v>
      </c>
      <c r="K677" s="9" t="s">
        <v>3525</v>
      </c>
      <c r="L677" s="9" t="s">
        <v>3534</v>
      </c>
      <c r="M677" s="9" t="s">
        <v>3360</v>
      </c>
      <c r="N677" s="9" t="s">
        <v>3360</v>
      </c>
      <c r="O677" s="9" t="s">
        <v>113</v>
      </c>
      <c r="P677" s="9">
        <v>1</v>
      </c>
      <c r="Q677" s="9"/>
      <c r="R677" s="9"/>
      <c r="S677" s="9" t="s">
        <v>3341</v>
      </c>
    </row>
    <row r="678" spans="1:19">
      <c r="A678" s="9" t="s">
        <v>74</v>
      </c>
      <c r="B678" s="9" t="s">
        <v>3333</v>
      </c>
      <c r="C678" s="9" t="s">
        <v>77</v>
      </c>
      <c r="D678" s="9" t="s">
        <v>3616</v>
      </c>
      <c r="E678" s="9" t="s">
        <v>3617</v>
      </c>
      <c r="F678" s="9" t="s">
        <v>3618</v>
      </c>
      <c r="G678" s="9" t="s">
        <v>3617</v>
      </c>
      <c r="H678" s="9" t="s">
        <v>2366</v>
      </c>
      <c r="I678" s="9">
        <v>2025</v>
      </c>
      <c r="J678" s="9" t="s">
        <v>731</v>
      </c>
      <c r="K678" s="9" t="s">
        <v>3525</v>
      </c>
      <c r="L678" s="9" t="s">
        <v>3534</v>
      </c>
      <c r="M678" s="9" t="s">
        <v>3360</v>
      </c>
      <c r="N678" s="9" t="s">
        <v>3360</v>
      </c>
      <c r="O678" s="9" t="s">
        <v>113</v>
      </c>
      <c r="P678" s="9">
        <v>1</v>
      </c>
      <c r="Q678" s="9"/>
      <c r="R678" s="9"/>
      <c r="S678" s="9" t="s">
        <v>3341</v>
      </c>
    </row>
    <row r="679" spans="1:19">
      <c r="A679" s="9" t="s">
        <v>74</v>
      </c>
      <c r="B679" s="9" t="s">
        <v>3333</v>
      </c>
      <c r="C679" s="9" t="s">
        <v>77</v>
      </c>
      <c r="D679" s="9" t="s">
        <v>3619</v>
      </c>
      <c r="E679" s="9" t="s">
        <v>3620</v>
      </c>
      <c r="F679" s="9" t="s">
        <v>1147</v>
      </c>
      <c r="G679" s="9" t="s">
        <v>3621</v>
      </c>
      <c r="H679" s="9" t="s">
        <v>1149</v>
      </c>
      <c r="I679" s="9">
        <v>2025</v>
      </c>
      <c r="J679" s="9" t="s">
        <v>158</v>
      </c>
      <c r="K679" s="9" t="s">
        <v>3622</v>
      </c>
      <c r="L679" s="9" t="s">
        <v>3469</v>
      </c>
      <c r="M679" s="9" t="s">
        <v>3340</v>
      </c>
      <c r="N679" s="9" t="s">
        <v>3340</v>
      </c>
      <c r="O679" s="9" t="s">
        <v>113</v>
      </c>
      <c r="P679" s="9">
        <v>1</v>
      </c>
      <c r="Q679" s="9"/>
      <c r="R679" s="9"/>
      <c r="S679" s="9" t="s">
        <v>3341</v>
      </c>
    </row>
    <row r="680" spans="1:19">
      <c r="A680" s="9" t="s">
        <v>74</v>
      </c>
      <c r="B680" s="9" t="s">
        <v>3333</v>
      </c>
      <c r="C680" s="9" t="s">
        <v>77</v>
      </c>
      <c r="D680" s="9" t="s">
        <v>3623</v>
      </c>
      <c r="E680" s="9" t="s">
        <v>3624</v>
      </c>
      <c r="F680" s="9" t="s">
        <v>1147</v>
      </c>
      <c r="G680" s="9" t="s">
        <v>3624</v>
      </c>
      <c r="H680" s="9" t="s">
        <v>1149</v>
      </c>
      <c r="I680" s="9">
        <v>2025</v>
      </c>
      <c r="J680" s="9" t="s">
        <v>3388</v>
      </c>
      <c r="K680" s="9" t="s">
        <v>3622</v>
      </c>
      <c r="L680" s="9" t="s">
        <v>3451</v>
      </c>
      <c r="M680" s="9" t="s">
        <v>3340</v>
      </c>
      <c r="N680" s="9" t="s">
        <v>3340</v>
      </c>
      <c r="O680" s="9" t="s">
        <v>113</v>
      </c>
      <c r="P680" s="9">
        <v>1</v>
      </c>
      <c r="Q680" s="9"/>
      <c r="R680" s="9"/>
      <c r="S680" s="9" t="s">
        <v>3341</v>
      </c>
    </row>
    <row r="681" spans="1:19">
      <c r="A681" s="9" t="s">
        <v>74</v>
      </c>
      <c r="B681" s="9" t="s">
        <v>3333</v>
      </c>
      <c r="C681" s="9" t="s">
        <v>77</v>
      </c>
      <c r="D681" s="9" t="s">
        <v>3625</v>
      </c>
      <c r="E681" s="9" t="s">
        <v>3626</v>
      </c>
      <c r="F681" s="9" t="s">
        <v>772</v>
      </c>
      <c r="G681" s="9" t="s">
        <v>3627</v>
      </c>
      <c r="H681" s="9" t="s">
        <v>3628</v>
      </c>
      <c r="I681" s="9">
        <v>2026</v>
      </c>
      <c r="J681" s="9" t="s">
        <v>109</v>
      </c>
      <c r="K681" s="9" t="s">
        <v>3629</v>
      </c>
      <c r="L681" s="9" t="s">
        <v>3630</v>
      </c>
      <c r="M681" s="9" t="s">
        <v>3340</v>
      </c>
      <c r="N681" s="9" t="s">
        <v>3340</v>
      </c>
      <c r="O681" s="9" t="s">
        <v>113</v>
      </c>
      <c r="P681" s="9">
        <v>1</v>
      </c>
      <c r="Q681" s="9"/>
      <c r="R681" s="9"/>
      <c r="S681" s="9" t="s">
        <v>3341</v>
      </c>
    </row>
    <row r="682" spans="1:19">
      <c r="A682" s="9" t="s">
        <v>74</v>
      </c>
      <c r="B682" s="9" t="s">
        <v>3333</v>
      </c>
      <c r="C682" s="9" t="s">
        <v>77</v>
      </c>
      <c r="D682" s="9" t="s">
        <v>3631</v>
      </c>
      <c r="E682" s="9" t="s">
        <v>3632</v>
      </c>
      <c r="F682" s="9" t="s">
        <v>772</v>
      </c>
      <c r="G682" s="9" t="s">
        <v>3633</v>
      </c>
      <c r="H682" s="9" t="s">
        <v>3634</v>
      </c>
      <c r="I682" s="9">
        <v>2025</v>
      </c>
      <c r="J682" s="9" t="s">
        <v>351</v>
      </c>
      <c r="K682" s="9" t="s">
        <v>3629</v>
      </c>
      <c r="L682" s="9" t="s">
        <v>3635</v>
      </c>
      <c r="M682" s="9" t="s">
        <v>3346</v>
      </c>
      <c r="N682" s="9" t="s">
        <v>3346</v>
      </c>
      <c r="O682" s="9" t="s">
        <v>113</v>
      </c>
      <c r="P682" s="9">
        <v>1</v>
      </c>
      <c r="Q682" s="9"/>
      <c r="R682" s="9"/>
      <c r="S682" s="9" t="s">
        <v>3341</v>
      </c>
    </row>
    <row r="683" spans="1:19">
      <c r="A683" s="9" t="s">
        <v>74</v>
      </c>
      <c r="B683" s="9" t="s">
        <v>3333</v>
      </c>
      <c r="C683" s="9" t="s">
        <v>77</v>
      </c>
      <c r="D683" s="9" t="s">
        <v>3636</v>
      </c>
      <c r="E683" s="9" t="s">
        <v>3637</v>
      </c>
      <c r="F683" s="9" t="s">
        <v>772</v>
      </c>
      <c r="G683" s="9" t="s">
        <v>3638</v>
      </c>
      <c r="H683" s="9" t="s">
        <v>2308</v>
      </c>
      <c r="I683" s="9">
        <v>2024</v>
      </c>
      <c r="J683" s="9" t="s">
        <v>158</v>
      </c>
      <c r="K683" s="9" t="s">
        <v>3629</v>
      </c>
      <c r="L683" s="9" t="s">
        <v>3635</v>
      </c>
      <c r="M683" s="9" t="s">
        <v>3340</v>
      </c>
      <c r="N683" s="9" t="s">
        <v>3340</v>
      </c>
      <c r="O683" s="9" t="s">
        <v>113</v>
      </c>
      <c r="P683" s="9">
        <v>1</v>
      </c>
      <c r="Q683" s="9"/>
      <c r="R683" s="9"/>
      <c r="S683" s="9" t="s">
        <v>3341</v>
      </c>
    </row>
    <row r="684" spans="1:19">
      <c r="A684" s="9" t="s">
        <v>74</v>
      </c>
      <c r="B684" s="9" t="s">
        <v>3333</v>
      </c>
      <c r="C684" s="9" t="s">
        <v>77</v>
      </c>
      <c r="D684" s="9" t="s">
        <v>3639</v>
      </c>
      <c r="E684" s="9" t="s">
        <v>3640</v>
      </c>
      <c r="F684" s="9" t="s">
        <v>772</v>
      </c>
      <c r="G684" s="9" t="s">
        <v>3640</v>
      </c>
      <c r="H684" s="9" t="s">
        <v>2308</v>
      </c>
      <c r="I684" s="9">
        <v>2024</v>
      </c>
      <c r="J684" s="9" t="s">
        <v>3388</v>
      </c>
      <c r="K684" s="9" t="s">
        <v>3629</v>
      </c>
      <c r="L684" s="9" t="s">
        <v>3635</v>
      </c>
      <c r="M684" s="9" t="s">
        <v>3340</v>
      </c>
      <c r="N684" s="9" t="s">
        <v>3340</v>
      </c>
      <c r="O684" s="9" t="s">
        <v>113</v>
      </c>
      <c r="P684" s="9">
        <v>1</v>
      </c>
      <c r="Q684" s="9"/>
      <c r="R684" s="9"/>
      <c r="S684" s="9" t="s">
        <v>3341</v>
      </c>
    </row>
    <row r="685" spans="1:19">
      <c r="A685" s="9" t="s">
        <v>74</v>
      </c>
      <c r="B685" s="9" t="s">
        <v>3333</v>
      </c>
      <c r="C685" s="9" t="s">
        <v>77</v>
      </c>
      <c r="D685" s="9" t="s">
        <v>3641</v>
      </c>
      <c r="E685" s="9" t="s">
        <v>3642</v>
      </c>
      <c r="F685" s="9" t="s">
        <v>3643</v>
      </c>
      <c r="G685" s="9" t="s">
        <v>3644</v>
      </c>
      <c r="H685" s="9" t="s">
        <v>3645</v>
      </c>
      <c r="I685" s="9">
        <v>2017</v>
      </c>
      <c r="J685" s="9" t="s">
        <v>351</v>
      </c>
      <c r="K685" s="9" t="s">
        <v>3646</v>
      </c>
      <c r="L685" s="9" t="s">
        <v>3647</v>
      </c>
      <c r="M685" s="9" t="s">
        <v>3346</v>
      </c>
      <c r="N685" s="9" t="s">
        <v>3346</v>
      </c>
      <c r="O685" s="9" t="s">
        <v>113</v>
      </c>
      <c r="P685" s="9">
        <v>1</v>
      </c>
      <c r="Q685" s="9"/>
      <c r="R685" s="9"/>
      <c r="S685" s="9" t="s">
        <v>3341</v>
      </c>
    </row>
    <row r="686" spans="1:19">
      <c r="A686" s="9" t="s">
        <v>74</v>
      </c>
      <c r="B686" s="9" t="s">
        <v>3333</v>
      </c>
      <c r="C686" s="9" t="s">
        <v>77</v>
      </c>
      <c r="D686" s="9" t="s">
        <v>3648</v>
      </c>
      <c r="E686" s="9" t="s">
        <v>3649</v>
      </c>
      <c r="F686" s="9" t="s">
        <v>3643</v>
      </c>
      <c r="G686" s="9" t="s">
        <v>3650</v>
      </c>
      <c r="H686" s="9" t="s">
        <v>3651</v>
      </c>
      <c r="I686" s="9">
        <v>2018</v>
      </c>
      <c r="J686" s="9" t="s">
        <v>109</v>
      </c>
      <c r="K686" s="9" t="s">
        <v>3652</v>
      </c>
      <c r="L686" s="9" t="s">
        <v>3647</v>
      </c>
      <c r="M686" s="9" t="s">
        <v>3340</v>
      </c>
      <c r="N686" s="9" t="s">
        <v>3340</v>
      </c>
      <c r="O686" s="9" t="s">
        <v>113</v>
      </c>
      <c r="P686" s="9">
        <v>1</v>
      </c>
      <c r="Q686" s="9"/>
      <c r="R686" s="9"/>
      <c r="S686" s="9" t="s">
        <v>3341</v>
      </c>
    </row>
    <row r="687" spans="1:19">
      <c r="A687" s="9" t="s">
        <v>74</v>
      </c>
      <c r="B687" s="9" t="s">
        <v>3333</v>
      </c>
      <c r="C687" s="9" t="s">
        <v>77</v>
      </c>
      <c r="D687" s="9" t="s">
        <v>3653</v>
      </c>
      <c r="E687" s="9" t="s">
        <v>3654</v>
      </c>
      <c r="F687" s="9" t="s">
        <v>3542</v>
      </c>
      <c r="G687" s="9" t="s">
        <v>3654</v>
      </c>
      <c r="H687" s="9" t="s">
        <v>3543</v>
      </c>
      <c r="I687" s="9">
        <v>2021</v>
      </c>
      <c r="J687" s="9" t="s">
        <v>130</v>
      </c>
      <c r="K687" s="9" t="s">
        <v>3655</v>
      </c>
      <c r="L687" s="9" t="s">
        <v>3656</v>
      </c>
      <c r="M687" s="9" t="s">
        <v>3340</v>
      </c>
      <c r="N687" s="9" t="s">
        <v>3340</v>
      </c>
      <c r="O687" s="9" t="s">
        <v>113</v>
      </c>
      <c r="P687" s="9">
        <v>1</v>
      </c>
      <c r="Q687" s="9"/>
      <c r="R687" s="9"/>
      <c r="S687" s="9" t="s">
        <v>3341</v>
      </c>
    </row>
    <row r="688" spans="1:19">
      <c r="A688" s="9" t="s">
        <v>74</v>
      </c>
      <c r="B688" s="9" t="s">
        <v>3333</v>
      </c>
      <c r="C688" s="9" t="s">
        <v>77</v>
      </c>
      <c r="D688" s="9" t="s">
        <v>3657</v>
      </c>
      <c r="E688" s="9" t="s">
        <v>3658</v>
      </c>
      <c r="F688" s="9" t="s">
        <v>3398</v>
      </c>
      <c r="G688" s="9" t="s">
        <v>3659</v>
      </c>
      <c r="H688" s="9" t="s">
        <v>3607</v>
      </c>
      <c r="I688" s="9">
        <v>2021</v>
      </c>
      <c r="J688" s="9" t="s">
        <v>351</v>
      </c>
      <c r="K688" s="9" t="s">
        <v>3655</v>
      </c>
      <c r="L688" s="9" t="s">
        <v>3660</v>
      </c>
      <c r="M688" s="9" t="s">
        <v>3346</v>
      </c>
      <c r="N688" s="9" t="s">
        <v>3346</v>
      </c>
      <c r="O688" s="9" t="s">
        <v>113</v>
      </c>
      <c r="P688" s="9">
        <v>1</v>
      </c>
      <c r="Q688" s="9"/>
      <c r="R688" s="9"/>
      <c r="S688" s="9" t="s">
        <v>3341</v>
      </c>
    </row>
    <row r="689" spans="1:19">
      <c r="A689" s="9" t="s">
        <v>74</v>
      </c>
      <c r="B689" s="9" t="s">
        <v>3333</v>
      </c>
      <c r="C689" s="9" t="s">
        <v>77</v>
      </c>
      <c r="D689" s="9" t="s">
        <v>3661</v>
      </c>
      <c r="E689" s="9" t="s">
        <v>3662</v>
      </c>
      <c r="F689" s="9" t="s">
        <v>3398</v>
      </c>
      <c r="G689" s="9" t="s">
        <v>3663</v>
      </c>
      <c r="H689" s="9" t="s">
        <v>172</v>
      </c>
      <c r="I689" s="9">
        <v>2021</v>
      </c>
      <c r="J689" s="9" t="s">
        <v>109</v>
      </c>
      <c r="K689" s="9" t="s">
        <v>3664</v>
      </c>
      <c r="L689" s="9" t="s">
        <v>3353</v>
      </c>
      <c r="M689" s="9" t="s">
        <v>3340</v>
      </c>
      <c r="N689" s="9" t="s">
        <v>3340</v>
      </c>
      <c r="O689" s="9" t="s">
        <v>113</v>
      </c>
      <c r="P689" s="9">
        <v>1</v>
      </c>
      <c r="Q689" s="9"/>
      <c r="R689" s="9"/>
      <c r="S689" s="9" t="s">
        <v>3341</v>
      </c>
    </row>
    <row r="690" spans="1:19">
      <c r="A690" s="9" t="s">
        <v>74</v>
      </c>
      <c r="B690" s="9" t="s">
        <v>3333</v>
      </c>
      <c r="C690" s="9" t="s">
        <v>77</v>
      </c>
      <c r="D690" s="9" t="s">
        <v>3665</v>
      </c>
      <c r="E690" s="9" t="s">
        <v>3642</v>
      </c>
      <c r="F690" s="9" t="s">
        <v>3643</v>
      </c>
      <c r="G690" s="9" t="s">
        <v>3644</v>
      </c>
      <c r="H690" s="9" t="s">
        <v>3666</v>
      </c>
      <c r="I690" s="9">
        <v>2024</v>
      </c>
      <c r="J690" s="9" t="s">
        <v>3405</v>
      </c>
      <c r="K690" s="9" t="s">
        <v>3667</v>
      </c>
      <c r="L690" s="9" t="s">
        <v>3647</v>
      </c>
      <c r="M690" s="9" t="s">
        <v>3360</v>
      </c>
      <c r="N690" s="9" t="s">
        <v>3360</v>
      </c>
      <c r="O690" s="9" t="s">
        <v>113</v>
      </c>
      <c r="P690" s="9">
        <v>1</v>
      </c>
      <c r="Q690" s="9"/>
      <c r="R690" s="9"/>
      <c r="S690" s="9" t="s">
        <v>3341</v>
      </c>
    </row>
    <row r="691" spans="1:19">
      <c r="A691" s="9" t="s">
        <v>74</v>
      </c>
      <c r="B691" s="9" t="s">
        <v>3333</v>
      </c>
      <c r="C691" s="9" t="s">
        <v>77</v>
      </c>
      <c r="D691" s="9" t="s">
        <v>3668</v>
      </c>
      <c r="E691" s="9" t="s">
        <v>3642</v>
      </c>
      <c r="F691" s="9" t="s">
        <v>3643</v>
      </c>
      <c r="G691" s="9" t="s">
        <v>3669</v>
      </c>
      <c r="H691" s="9" t="s">
        <v>3670</v>
      </c>
      <c r="I691" s="9">
        <v>2024</v>
      </c>
      <c r="J691" s="9" t="s">
        <v>980</v>
      </c>
      <c r="K691" s="9" t="s">
        <v>3671</v>
      </c>
      <c r="L691" s="9" t="s">
        <v>3647</v>
      </c>
      <c r="M691" s="9" t="s">
        <v>3360</v>
      </c>
      <c r="N691" s="9" t="s">
        <v>3360</v>
      </c>
      <c r="O691" s="9" t="s">
        <v>113</v>
      </c>
      <c r="P691" s="9">
        <v>1</v>
      </c>
      <c r="Q691" s="9"/>
      <c r="R691" s="9"/>
      <c r="S691" s="9" t="s">
        <v>3341</v>
      </c>
    </row>
    <row r="692" spans="1:19">
      <c r="A692" s="9" t="s">
        <v>74</v>
      </c>
      <c r="B692" s="9" t="s">
        <v>3333</v>
      </c>
      <c r="C692" s="9" t="s">
        <v>77</v>
      </c>
      <c r="D692" s="9" t="s">
        <v>3672</v>
      </c>
      <c r="E692" s="9" t="s">
        <v>3673</v>
      </c>
      <c r="F692" s="9" t="s">
        <v>3643</v>
      </c>
      <c r="G692" s="9" t="s">
        <v>3674</v>
      </c>
      <c r="H692" s="9" t="s">
        <v>3675</v>
      </c>
      <c r="I692" s="9">
        <v>2016</v>
      </c>
      <c r="J692" s="9" t="s">
        <v>158</v>
      </c>
      <c r="K692" s="9" t="s">
        <v>3646</v>
      </c>
      <c r="L692" s="9" t="s">
        <v>3647</v>
      </c>
      <c r="M692" s="9" t="s">
        <v>3340</v>
      </c>
      <c r="N692" s="9" t="s">
        <v>3340</v>
      </c>
      <c r="O692" s="9" t="s">
        <v>113</v>
      </c>
      <c r="P692" s="9">
        <v>1</v>
      </c>
      <c r="Q692" s="9"/>
      <c r="R692" s="9"/>
      <c r="S692" s="9" t="s">
        <v>3341</v>
      </c>
    </row>
    <row r="693" spans="1:19">
      <c r="A693" s="9" t="s">
        <v>74</v>
      </c>
      <c r="B693" s="9" t="s">
        <v>3333</v>
      </c>
      <c r="C693" s="9" t="s">
        <v>77</v>
      </c>
      <c r="D693" s="9" t="s">
        <v>3676</v>
      </c>
      <c r="E693" s="9" t="s">
        <v>3677</v>
      </c>
      <c r="F693" s="9" t="s">
        <v>3643</v>
      </c>
      <c r="G693" s="9" t="s">
        <v>3677</v>
      </c>
      <c r="H693" s="9" t="s">
        <v>3675</v>
      </c>
      <c r="I693" s="9">
        <v>2016</v>
      </c>
      <c r="J693" s="9" t="s">
        <v>3388</v>
      </c>
      <c r="K693" s="9" t="s">
        <v>3646</v>
      </c>
      <c r="L693" s="9" t="s">
        <v>3678</v>
      </c>
      <c r="M693" s="9" t="s">
        <v>3340</v>
      </c>
      <c r="N693" s="9" t="s">
        <v>3340</v>
      </c>
      <c r="O693" s="9" t="s">
        <v>113</v>
      </c>
      <c r="P693" s="9">
        <v>1</v>
      </c>
      <c r="Q693" s="9"/>
      <c r="R693" s="9"/>
      <c r="S693" s="9" t="s">
        <v>3341</v>
      </c>
    </row>
    <row r="694" spans="1:19">
      <c r="A694" s="9" t="s">
        <v>74</v>
      </c>
      <c r="B694" s="9" t="s">
        <v>3333</v>
      </c>
      <c r="C694" s="9" t="s">
        <v>77</v>
      </c>
      <c r="D694" s="9" t="s">
        <v>3679</v>
      </c>
      <c r="E694" s="9" t="s">
        <v>3680</v>
      </c>
      <c r="F694" s="9" t="s">
        <v>3398</v>
      </c>
      <c r="G694" s="9" t="s">
        <v>3681</v>
      </c>
      <c r="H694" s="9" t="s">
        <v>3600</v>
      </c>
      <c r="I694" s="9">
        <v>2020</v>
      </c>
      <c r="J694" s="9" t="s">
        <v>158</v>
      </c>
      <c r="K694" s="9" t="s">
        <v>3655</v>
      </c>
      <c r="L694" s="9" t="s">
        <v>3682</v>
      </c>
      <c r="M694" s="9" t="s">
        <v>3340</v>
      </c>
      <c r="N694" s="9" t="s">
        <v>3340</v>
      </c>
      <c r="O694" s="9" t="s">
        <v>113</v>
      </c>
      <c r="P694" s="9">
        <v>1</v>
      </c>
      <c r="Q694" s="9"/>
      <c r="R694" s="9"/>
      <c r="S694" s="9" t="s">
        <v>3341</v>
      </c>
    </row>
    <row r="695" spans="1:19">
      <c r="A695" s="9" t="s">
        <v>74</v>
      </c>
      <c r="B695" s="9" t="s">
        <v>3333</v>
      </c>
      <c r="C695" s="9" t="s">
        <v>77</v>
      </c>
      <c r="D695" s="9" t="s">
        <v>3683</v>
      </c>
      <c r="E695" s="9" t="s">
        <v>3684</v>
      </c>
      <c r="F695" s="9" t="s">
        <v>3398</v>
      </c>
      <c r="G695" s="9" t="s">
        <v>3684</v>
      </c>
      <c r="H695" s="9" t="s">
        <v>3600</v>
      </c>
      <c r="I695" s="9">
        <v>2020</v>
      </c>
      <c r="J695" s="9" t="s">
        <v>731</v>
      </c>
      <c r="K695" s="9" t="s">
        <v>3664</v>
      </c>
      <c r="L695" s="9" t="s">
        <v>3660</v>
      </c>
      <c r="M695" s="9" t="s">
        <v>3360</v>
      </c>
      <c r="N695" s="9" t="s">
        <v>3360</v>
      </c>
      <c r="O695" s="9" t="s">
        <v>113</v>
      </c>
      <c r="P695" s="9">
        <v>1</v>
      </c>
      <c r="Q695" s="9"/>
      <c r="R695" s="9"/>
      <c r="S695" s="9" t="s">
        <v>3341</v>
      </c>
    </row>
    <row r="696" spans="1:19">
      <c r="A696" s="9" t="s">
        <v>74</v>
      </c>
      <c r="B696" s="9" t="s">
        <v>3333</v>
      </c>
      <c r="C696" s="9" t="s">
        <v>77</v>
      </c>
      <c r="D696" s="9" t="s">
        <v>3685</v>
      </c>
      <c r="E696" s="9" t="s">
        <v>3686</v>
      </c>
      <c r="F696" s="9" t="s">
        <v>3398</v>
      </c>
      <c r="G696" s="9" t="s">
        <v>3686</v>
      </c>
      <c r="H696" s="9" t="s">
        <v>3600</v>
      </c>
      <c r="I696" s="9">
        <v>2020</v>
      </c>
      <c r="J696" s="9" t="s">
        <v>3388</v>
      </c>
      <c r="K696" s="9" t="s">
        <v>3655</v>
      </c>
      <c r="L696" s="9" t="s">
        <v>3687</v>
      </c>
      <c r="M696" s="9" t="s">
        <v>3340</v>
      </c>
      <c r="N696" s="9" t="s">
        <v>3340</v>
      </c>
      <c r="O696" s="9" t="s">
        <v>113</v>
      </c>
      <c r="P696" s="9">
        <v>1</v>
      </c>
      <c r="Q696" s="9"/>
      <c r="R696" s="9"/>
      <c r="S696" s="9" t="s">
        <v>3341</v>
      </c>
    </row>
    <row r="697" spans="1:19">
      <c r="A697" s="9" t="s">
        <v>74</v>
      </c>
      <c r="B697" s="9" t="s">
        <v>3333</v>
      </c>
      <c r="C697" s="9" t="s">
        <v>77</v>
      </c>
      <c r="D697" s="9" t="s">
        <v>3688</v>
      </c>
      <c r="E697" s="9" t="s">
        <v>3689</v>
      </c>
      <c r="F697" s="9" t="s">
        <v>3392</v>
      </c>
      <c r="G697" s="9" t="s">
        <v>3689</v>
      </c>
      <c r="H697" s="9" t="s">
        <v>3690</v>
      </c>
      <c r="I697" s="9">
        <v>2012</v>
      </c>
      <c r="J697" s="9" t="s">
        <v>3388</v>
      </c>
      <c r="K697" s="9" t="s">
        <v>3395</v>
      </c>
      <c r="L697" s="9" t="s">
        <v>3353</v>
      </c>
      <c r="M697" s="9" t="s">
        <v>3691</v>
      </c>
      <c r="N697" s="9" t="s">
        <v>3691</v>
      </c>
      <c r="O697" s="9" t="s">
        <v>113</v>
      </c>
      <c r="P697" s="9">
        <v>1</v>
      </c>
      <c r="Q697" s="9"/>
      <c r="R697" s="9"/>
      <c r="S697" s="9" t="s">
        <v>3341</v>
      </c>
    </row>
    <row r="698" spans="1:19">
      <c r="A698" s="9" t="s">
        <v>74</v>
      </c>
      <c r="B698" s="9" t="s">
        <v>3333</v>
      </c>
      <c r="C698" s="9" t="s">
        <v>77</v>
      </c>
      <c r="D698" s="9" t="s">
        <v>3692</v>
      </c>
      <c r="E698" s="9" t="s">
        <v>3693</v>
      </c>
      <c r="F698" s="9" t="s">
        <v>3392</v>
      </c>
      <c r="G698" s="9" t="s">
        <v>3693</v>
      </c>
      <c r="H698" s="9" t="s">
        <v>3694</v>
      </c>
      <c r="I698" s="9">
        <v>2013</v>
      </c>
      <c r="J698" s="9" t="s">
        <v>1947</v>
      </c>
      <c r="K698" s="9" t="s">
        <v>3395</v>
      </c>
      <c r="L698" s="9" t="s">
        <v>3353</v>
      </c>
      <c r="M698" s="9" t="s">
        <v>3691</v>
      </c>
      <c r="N698" s="9" t="s">
        <v>3691</v>
      </c>
      <c r="O698" s="9" t="s">
        <v>113</v>
      </c>
      <c r="P698" s="9">
        <v>1</v>
      </c>
      <c r="Q698" s="9"/>
      <c r="R698" s="9"/>
      <c r="S698" s="9" t="s">
        <v>3341</v>
      </c>
    </row>
    <row r="699" spans="1:19">
      <c r="A699" s="9" t="s">
        <v>74</v>
      </c>
      <c r="B699" s="9" t="s">
        <v>3333</v>
      </c>
      <c r="C699" s="9" t="s">
        <v>77</v>
      </c>
      <c r="D699" s="9" t="s">
        <v>3695</v>
      </c>
      <c r="E699" s="9" t="s">
        <v>3696</v>
      </c>
      <c r="F699" s="9" t="s">
        <v>3392</v>
      </c>
      <c r="G699" s="9" t="s">
        <v>3696</v>
      </c>
      <c r="H699" s="9" t="s">
        <v>3697</v>
      </c>
      <c r="I699" s="9">
        <v>2013</v>
      </c>
      <c r="J699" s="9" t="s">
        <v>731</v>
      </c>
      <c r="K699" s="9" t="s">
        <v>3698</v>
      </c>
      <c r="L699" s="9" t="s">
        <v>3353</v>
      </c>
      <c r="M699" s="9" t="s">
        <v>3691</v>
      </c>
      <c r="N699" s="9" t="s">
        <v>3691</v>
      </c>
      <c r="O699" s="9" t="s">
        <v>113</v>
      </c>
      <c r="P699" s="9">
        <v>1</v>
      </c>
      <c r="Q699" s="9"/>
      <c r="R699" s="9"/>
      <c r="S699" s="9" t="s">
        <v>3341</v>
      </c>
    </row>
    <row r="700" spans="1:19">
      <c r="A700" s="9" t="s">
        <v>74</v>
      </c>
      <c r="B700" s="9" t="s">
        <v>3333</v>
      </c>
      <c r="C700" s="9" t="s">
        <v>77</v>
      </c>
      <c r="D700" s="9" t="s">
        <v>3699</v>
      </c>
      <c r="E700" s="9" t="s">
        <v>3700</v>
      </c>
      <c r="F700" s="9" t="s">
        <v>3426</v>
      </c>
      <c r="G700" s="9" t="s">
        <v>3701</v>
      </c>
      <c r="H700" s="9" t="s">
        <v>3702</v>
      </c>
      <c r="I700" s="9">
        <v>2015</v>
      </c>
      <c r="J700" s="9" t="s">
        <v>109</v>
      </c>
      <c r="K700" s="9" t="s">
        <v>3429</v>
      </c>
      <c r="L700" s="9" t="s">
        <v>3703</v>
      </c>
      <c r="M700" s="9" t="s">
        <v>3704</v>
      </c>
      <c r="N700" s="9" t="s">
        <v>3704</v>
      </c>
      <c r="O700" s="9" t="s">
        <v>113</v>
      </c>
      <c r="P700" s="9">
        <v>1</v>
      </c>
      <c r="Q700" s="9"/>
      <c r="R700" s="9"/>
      <c r="S700" s="9" t="s">
        <v>3341</v>
      </c>
    </row>
    <row r="701" spans="1:19">
      <c r="A701" s="9" t="s">
        <v>74</v>
      </c>
      <c r="B701" s="9" t="s">
        <v>3333</v>
      </c>
      <c r="C701" s="9" t="s">
        <v>77</v>
      </c>
      <c r="D701" s="9" t="s">
        <v>3705</v>
      </c>
      <c r="E701" s="9" t="s">
        <v>3706</v>
      </c>
      <c r="F701" s="9" t="s">
        <v>3707</v>
      </c>
      <c r="G701" s="9" t="s">
        <v>3706</v>
      </c>
      <c r="H701" s="9" t="s">
        <v>3708</v>
      </c>
      <c r="I701" s="9">
        <v>2016</v>
      </c>
      <c r="J701" s="9" t="s">
        <v>130</v>
      </c>
      <c r="K701" s="9" t="s">
        <v>3709</v>
      </c>
      <c r="L701" s="9" t="s">
        <v>3710</v>
      </c>
      <c r="M701" s="9" t="s">
        <v>3711</v>
      </c>
      <c r="N701" s="9" t="s">
        <v>3711</v>
      </c>
      <c r="O701" s="9" t="s">
        <v>113</v>
      </c>
      <c r="P701" s="9">
        <v>1</v>
      </c>
      <c r="Q701" s="9"/>
      <c r="R701" s="9"/>
      <c r="S701" s="9" t="s">
        <v>3341</v>
      </c>
    </row>
    <row r="702" spans="1:19">
      <c r="A702" s="9" t="s">
        <v>74</v>
      </c>
      <c r="B702" s="9" t="s">
        <v>3333</v>
      </c>
      <c r="C702" s="9" t="s">
        <v>77</v>
      </c>
      <c r="D702" s="9" t="s">
        <v>3712</v>
      </c>
      <c r="E702" s="9" t="s">
        <v>3713</v>
      </c>
      <c r="F702" s="9" t="s">
        <v>3392</v>
      </c>
      <c r="G702" s="9" t="s">
        <v>3714</v>
      </c>
      <c r="H702" s="9" t="s">
        <v>3715</v>
      </c>
      <c r="I702" s="9">
        <v>2013</v>
      </c>
      <c r="J702" s="9" t="s">
        <v>109</v>
      </c>
      <c r="K702" s="9" t="s">
        <v>3395</v>
      </c>
      <c r="L702" s="9" t="s">
        <v>3716</v>
      </c>
      <c r="M702" s="9" t="s">
        <v>3717</v>
      </c>
      <c r="N702" s="9" t="s">
        <v>3704</v>
      </c>
      <c r="O702" s="9" t="s">
        <v>113</v>
      </c>
      <c r="P702" s="9">
        <v>1</v>
      </c>
      <c r="Q702" s="9" t="s">
        <v>3718</v>
      </c>
      <c r="R702" s="9" t="s">
        <v>525</v>
      </c>
      <c r="S702" s="9" t="s">
        <v>3341</v>
      </c>
    </row>
    <row r="703" spans="1:19">
      <c r="A703" s="9" t="s">
        <v>74</v>
      </c>
      <c r="B703" s="9" t="s">
        <v>3333</v>
      </c>
      <c r="C703" s="9" t="s">
        <v>77</v>
      </c>
      <c r="D703" s="9" t="s">
        <v>3719</v>
      </c>
      <c r="E703" s="9" t="s">
        <v>3720</v>
      </c>
      <c r="F703" s="9" t="s">
        <v>3426</v>
      </c>
      <c r="G703" s="9" t="s">
        <v>3721</v>
      </c>
      <c r="H703" s="9" t="s">
        <v>3722</v>
      </c>
      <c r="I703" s="9">
        <v>2013</v>
      </c>
      <c r="J703" s="9" t="s">
        <v>158</v>
      </c>
      <c r="K703" s="9" t="s">
        <v>3429</v>
      </c>
      <c r="L703" s="9" t="s">
        <v>3353</v>
      </c>
      <c r="M703" s="9" t="s">
        <v>3723</v>
      </c>
      <c r="N703" s="9" t="s">
        <v>3724</v>
      </c>
      <c r="O703" s="9" t="s">
        <v>113</v>
      </c>
      <c r="P703" s="9">
        <v>1</v>
      </c>
      <c r="Q703" s="9" t="s">
        <v>3725</v>
      </c>
      <c r="R703" s="9" t="s">
        <v>525</v>
      </c>
      <c r="S703" s="9" t="s">
        <v>3341</v>
      </c>
    </row>
    <row r="704" spans="1:19">
      <c r="A704" s="9" t="s">
        <v>74</v>
      </c>
      <c r="B704" s="9" t="s">
        <v>3333</v>
      </c>
      <c r="C704" s="9" t="s">
        <v>77</v>
      </c>
      <c r="D704" s="9" t="s">
        <v>3726</v>
      </c>
      <c r="E704" s="9" t="s">
        <v>3727</v>
      </c>
      <c r="F704" s="9" t="s">
        <v>3728</v>
      </c>
      <c r="G704" s="9" t="s">
        <v>3729</v>
      </c>
      <c r="H704" s="9" t="s">
        <v>3730</v>
      </c>
      <c r="I704" s="9">
        <v>2016</v>
      </c>
      <c r="J704" s="9" t="s">
        <v>109</v>
      </c>
      <c r="K704" s="9" t="s">
        <v>3731</v>
      </c>
      <c r="L704" s="9" t="s">
        <v>3458</v>
      </c>
      <c r="M704" s="9" t="s">
        <v>3732</v>
      </c>
      <c r="N704" s="9" t="s">
        <v>3711</v>
      </c>
      <c r="O704" s="9" t="s">
        <v>113</v>
      </c>
      <c r="P704" s="9">
        <v>1</v>
      </c>
      <c r="Q704" s="9" t="s">
        <v>3718</v>
      </c>
      <c r="R704" s="9" t="s">
        <v>525</v>
      </c>
      <c r="S704" s="9" t="s">
        <v>3341</v>
      </c>
    </row>
    <row r="705" spans="1:19">
      <c r="A705" s="9" t="s">
        <v>74</v>
      </c>
      <c r="B705" s="9" t="s">
        <v>3333</v>
      </c>
      <c r="C705" s="9" t="s">
        <v>77</v>
      </c>
      <c r="D705" s="9" t="s">
        <v>3733</v>
      </c>
      <c r="E705" s="9" t="s">
        <v>3734</v>
      </c>
      <c r="F705" s="9" t="s">
        <v>3728</v>
      </c>
      <c r="G705" s="9" t="s">
        <v>3735</v>
      </c>
      <c r="H705" s="9" t="s">
        <v>3736</v>
      </c>
      <c r="I705" s="9">
        <v>2016</v>
      </c>
      <c r="J705" s="9" t="s">
        <v>351</v>
      </c>
      <c r="K705" s="9" t="s">
        <v>3731</v>
      </c>
      <c r="L705" s="9" t="s">
        <v>3737</v>
      </c>
      <c r="M705" s="9" t="s">
        <v>3738</v>
      </c>
      <c r="N705" s="9" t="s">
        <v>3739</v>
      </c>
      <c r="O705" s="9" t="s">
        <v>113</v>
      </c>
      <c r="P705" s="9">
        <v>1</v>
      </c>
      <c r="Q705" s="9" t="s">
        <v>3740</v>
      </c>
      <c r="R705" s="9" t="s">
        <v>525</v>
      </c>
      <c r="S705" s="9" t="s">
        <v>3341</v>
      </c>
    </row>
    <row r="706" spans="1:19">
      <c r="A706" s="9" t="s">
        <v>74</v>
      </c>
      <c r="B706" s="9" t="s">
        <v>3333</v>
      </c>
      <c r="C706" s="9" t="s">
        <v>77</v>
      </c>
      <c r="D706" s="9" t="s">
        <v>3741</v>
      </c>
      <c r="E706" s="9" t="s">
        <v>3742</v>
      </c>
      <c r="F706" s="9" t="s">
        <v>3728</v>
      </c>
      <c r="G706" s="9" t="s">
        <v>3743</v>
      </c>
      <c r="H706" s="9" t="s">
        <v>3744</v>
      </c>
      <c r="I706" s="9">
        <v>2015</v>
      </c>
      <c r="J706" s="9" t="s">
        <v>158</v>
      </c>
      <c r="K706" s="9" t="s">
        <v>3731</v>
      </c>
      <c r="L706" s="9" t="s">
        <v>3745</v>
      </c>
      <c r="M706" s="9" t="s">
        <v>3746</v>
      </c>
      <c r="N706" s="9" t="s">
        <v>3711</v>
      </c>
      <c r="O706" s="9" t="s">
        <v>113</v>
      </c>
      <c r="P706" s="9">
        <v>1</v>
      </c>
      <c r="Q706" s="9" t="s">
        <v>3747</v>
      </c>
      <c r="R706" s="9" t="s">
        <v>525</v>
      </c>
      <c r="S706" s="9" t="s">
        <v>3341</v>
      </c>
    </row>
    <row r="707" spans="1:19">
      <c r="A707" s="9" t="s">
        <v>74</v>
      </c>
      <c r="B707" s="9" t="s">
        <v>3333</v>
      </c>
      <c r="C707" s="9" t="s">
        <v>77</v>
      </c>
      <c r="D707" s="9" t="s">
        <v>3748</v>
      </c>
      <c r="E707" s="9" t="s">
        <v>3749</v>
      </c>
      <c r="F707" s="9" t="s">
        <v>3750</v>
      </c>
      <c r="G707" s="9" t="s">
        <v>3749</v>
      </c>
      <c r="H707" s="9" t="s">
        <v>3751</v>
      </c>
      <c r="I707" s="9">
        <v>2019</v>
      </c>
      <c r="J707" s="9" t="s">
        <v>3752</v>
      </c>
      <c r="K707" s="9" t="s">
        <v>3352</v>
      </c>
      <c r="L707" s="9" t="s">
        <v>3753</v>
      </c>
      <c r="M707" s="9" t="s">
        <v>3754</v>
      </c>
      <c r="N707" s="9" t="s">
        <v>3360</v>
      </c>
      <c r="O707" s="9" t="s">
        <v>113</v>
      </c>
      <c r="P707" s="9">
        <v>1</v>
      </c>
      <c r="Q707" s="9" t="s">
        <v>3755</v>
      </c>
      <c r="R707" s="9" t="s">
        <v>525</v>
      </c>
      <c r="S707" s="9" t="s">
        <v>3341</v>
      </c>
    </row>
    <row r="708" spans="1:19">
      <c r="A708" s="9" t="s">
        <v>74</v>
      </c>
      <c r="B708" s="9" t="s">
        <v>3333</v>
      </c>
      <c r="C708" s="9" t="s">
        <v>77</v>
      </c>
      <c r="D708" s="9" t="s">
        <v>3756</v>
      </c>
      <c r="E708" s="9" t="s">
        <v>3757</v>
      </c>
      <c r="F708" s="9" t="s">
        <v>3758</v>
      </c>
      <c r="G708" s="9" t="s">
        <v>3759</v>
      </c>
      <c r="H708" s="9" t="s">
        <v>3760</v>
      </c>
      <c r="I708" s="9">
        <v>2022</v>
      </c>
      <c r="J708" s="9" t="s">
        <v>3761</v>
      </c>
      <c r="K708" s="9" t="s">
        <v>3762</v>
      </c>
      <c r="L708" s="9" t="s">
        <v>3763</v>
      </c>
      <c r="M708" s="9" t="s">
        <v>3764</v>
      </c>
      <c r="N708" s="9" t="s">
        <v>3346</v>
      </c>
      <c r="O708" s="9" t="s">
        <v>113</v>
      </c>
      <c r="P708" s="9">
        <v>1</v>
      </c>
      <c r="Q708" s="10" t="s">
        <v>3765</v>
      </c>
      <c r="R708" s="9" t="s">
        <v>525</v>
      </c>
      <c r="S708" s="9" t="s">
        <v>3341</v>
      </c>
    </row>
    <row r="709" spans="1:19">
      <c r="A709" s="9" t="s">
        <v>74</v>
      </c>
      <c r="B709" s="9" t="s">
        <v>3333</v>
      </c>
      <c r="C709" s="9" t="s">
        <v>77</v>
      </c>
      <c r="D709" s="9" t="s">
        <v>3766</v>
      </c>
      <c r="E709" s="9" t="s">
        <v>3767</v>
      </c>
      <c r="F709" s="9" t="s">
        <v>873</v>
      </c>
      <c r="G709" s="9" t="s">
        <v>3768</v>
      </c>
      <c r="H709" s="9" t="s">
        <v>3769</v>
      </c>
      <c r="I709" s="9">
        <v>2024</v>
      </c>
      <c r="J709" s="9" t="s">
        <v>3761</v>
      </c>
      <c r="K709" s="9" t="s">
        <v>3770</v>
      </c>
      <c r="L709" s="9" t="s">
        <v>3771</v>
      </c>
      <c r="M709" s="9" t="s">
        <v>3764</v>
      </c>
      <c r="N709" s="9" t="s">
        <v>3346</v>
      </c>
      <c r="O709" s="9" t="s">
        <v>113</v>
      </c>
      <c r="P709" s="9">
        <v>1</v>
      </c>
      <c r="Q709" s="10" t="s">
        <v>3765</v>
      </c>
      <c r="R709" s="9" t="s">
        <v>525</v>
      </c>
      <c r="S709" s="9" t="s">
        <v>3341</v>
      </c>
    </row>
    <row r="710" spans="1:19">
      <c r="A710" s="9" t="s">
        <v>74</v>
      </c>
      <c r="B710" s="9" t="s">
        <v>3333</v>
      </c>
      <c r="C710" s="9" t="s">
        <v>77</v>
      </c>
      <c r="D710" s="9" t="s">
        <v>3772</v>
      </c>
      <c r="E710" s="9" t="s">
        <v>3773</v>
      </c>
      <c r="F710" s="9" t="s">
        <v>1160</v>
      </c>
      <c r="G710" s="9" t="s">
        <v>3774</v>
      </c>
      <c r="H710" s="9" t="s">
        <v>1235</v>
      </c>
      <c r="I710" s="9">
        <v>2025</v>
      </c>
      <c r="J710" s="9" t="s">
        <v>3761</v>
      </c>
      <c r="K710" s="9" t="s">
        <v>3770</v>
      </c>
      <c r="L710" s="9"/>
      <c r="M710" s="9" t="s">
        <v>3764</v>
      </c>
      <c r="N710" s="9" t="s">
        <v>3346</v>
      </c>
      <c r="O710" s="9" t="s">
        <v>113</v>
      </c>
      <c r="P710" s="9">
        <v>1</v>
      </c>
      <c r="Q710" s="10" t="s">
        <v>3765</v>
      </c>
      <c r="R710" s="9" t="s">
        <v>525</v>
      </c>
      <c r="S710" s="9" t="s">
        <v>3341</v>
      </c>
    </row>
    <row r="711" spans="1:19">
      <c r="A711" s="9" t="s">
        <v>74</v>
      </c>
      <c r="B711" s="9" t="s">
        <v>3333</v>
      </c>
      <c r="C711" s="9" t="s">
        <v>77</v>
      </c>
      <c r="D711" s="9" t="s">
        <v>3775</v>
      </c>
      <c r="E711" s="9" t="s">
        <v>3776</v>
      </c>
      <c r="F711" s="9" t="s">
        <v>3518</v>
      </c>
      <c r="G711" s="9" t="s">
        <v>3777</v>
      </c>
      <c r="H711" s="9" t="s">
        <v>3778</v>
      </c>
      <c r="I711" s="9">
        <v>2016</v>
      </c>
      <c r="J711" s="9" t="s">
        <v>109</v>
      </c>
      <c r="K711" s="9" t="s">
        <v>3779</v>
      </c>
      <c r="L711" s="9" t="s">
        <v>3353</v>
      </c>
      <c r="M711" s="9" t="s">
        <v>3780</v>
      </c>
      <c r="N711" s="9" t="s">
        <v>3781</v>
      </c>
      <c r="O711" s="9" t="s">
        <v>113</v>
      </c>
      <c r="P711" s="9">
        <v>1</v>
      </c>
      <c r="Q711" s="9" t="s">
        <v>3782</v>
      </c>
      <c r="R711" s="9" t="s">
        <v>525</v>
      </c>
      <c r="S711" s="9" t="s">
        <v>3341</v>
      </c>
    </row>
    <row r="712" spans="1:19">
      <c r="A712" s="9" t="s">
        <v>74</v>
      </c>
      <c r="B712" s="9" t="s">
        <v>3333</v>
      </c>
      <c r="C712" s="9" t="s">
        <v>77</v>
      </c>
      <c r="D712" s="9" t="s">
        <v>3783</v>
      </c>
      <c r="E712" s="9" t="s">
        <v>3784</v>
      </c>
      <c r="F712" s="9" t="s">
        <v>3518</v>
      </c>
      <c r="G712" s="9" t="s">
        <v>3785</v>
      </c>
      <c r="H712" s="9" t="s">
        <v>3786</v>
      </c>
      <c r="I712" s="9">
        <v>2014</v>
      </c>
      <c r="J712" s="9" t="s">
        <v>158</v>
      </c>
      <c r="K712" s="9" t="s">
        <v>3429</v>
      </c>
      <c r="L712" s="9" t="s">
        <v>3787</v>
      </c>
      <c r="M712" s="9" t="s">
        <v>3788</v>
      </c>
      <c r="N712" s="9" t="s">
        <v>3781</v>
      </c>
      <c r="O712" s="9" t="s">
        <v>113</v>
      </c>
      <c r="P712" s="9">
        <v>1</v>
      </c>
      <c r="Q712" s="9" t="s">
        <v>3789</v>
      </c>
      <c r="R712" s="9" t="s">
        <v>525</v>
      </c>
      <c r="S712" s="9" t="s">
        <v>3341</v>
      </c>
    </row>
    <row r="713" spans="1:19">
      <c r="A713" s="9" t="s">
        <v>74</v>
      </c>
      <c r="B713" s="9" t="s">
        <v>3333</v>
      </c>
      <c r="C713" s="9" t="s">
        <v>77</v>
      </c>
      <c r="D713" s="9" t="s">
        <v>3790</v>
      </c>
      <c r="E713" s="9" t="s">
        <v>3791</v>
      </c>
      <c r="F713" s="9" t="s">
        <v>3349</v>
      </c>
      <c r="G713" s="9" t="s">
        <v>3792</v>
      </c>
      <c r="H713" s="9" t="s">
        <v>3793</v>
      </c>
      <c r="I713" s="9">
        <v>2017</v>
      </c>
      <c r="J713" s="9" t="s">
        <v>3794</v>
      </c>
      <c r="K713" s="9" t="s">
        <v>3358</v>
      </c>
      <c r="L713" s="9" t="s">
        <v>3353</v>
      </c>
      <c r="M713" s="9" t="s">
        <v>3795</v>
      </c>
      <c r="N713" s="9" t="s">
        <v>3796</v>
      </c>
      <c r="O713" s="9" t="s">
        <v>113</v>
      </c>
      <c r="P713" s="9">
        <v>1</v>
      </c>
      <c r="Q713" s="10" t="s">
        <v>3797</v>
      </c>
      <c r="R713" s="9" t="s">
        <v>525</v>
      </c>
      <c r="S713" s="9" t="s">
        <v>3341</v>
      </c>
    </row>
    <row r="714" spans="1:19">
      <c r="A714" s="9" t="s">
        <v>74</v>
      </c>
      <c r="B714" s="9" t="s">
        <v>3333</v>
      </c>
      <c r="C714" s="9" t="s">
        <v>77</v>
      </c>
      <c r="D714" s="9" t="s">
        <v>3798</v>
      </c>
      <c r="E714" s="9" t="s">
        <v>3799</v>
      </c>
      <c r="F714" s="9" t="s">
        <v>3472</v>
      </c>
      <c r="G714" s="9" t="s">
        <v>3800</v>
      </c>
      <c r="H714" s="9" t="s">
        <v>603</v>
      </c>
      <c r="I714" s="9">
        <v>2023</v>
      </c>
      <c r="J714" s="9" t="s">
        <v>3794</v>
      </c>
      <c r="K714" s="9" t="s">
        <v>3801</v>
      </c>
      <c r="L714" s="9" t="s">
        <v>3353</v>
      </c>
      <c r="M714" s="9" t="s">
        <v>3795</v>
      </c>
      <c r="N714" s="9" t="s">
        <v>3796</v>
      </c>
      <c r="O714" s="9" t="s">
        <v>113</v>
      </c>
      <c r="P714" s="9">
        <v>1</v>
      </c>
      <c r="Q714" s="10" t="s">
        <v>3797</v>
      </c>
      <c r="R714" s="9" t="s">
        <v>525</v>
      </c>
      <c r="S714" s="9" t="s">
        <v>3341</v>
      </c>
    </row>
    <row r="715" spans="1:19">
      <c r="A715" s="9" t="s">
        <v>74</v>
      </c>
      <c r="B715" s="9" t="s">
        <v>3333</v>
      </c>
      <c r="C715" s="9" t="s">
        <v>77</v>
      </c>
      <c r="D715" s="9" t="s">
        <v>3802</v>
      </c>
      <c r="E715" s="9" t="s">
        <v>3803</v>
      </c>
      <c r="F715" s="9" t="s">
        <v>3398</v>
      </c>
      <c r="G715" s="9" t="s">
        <v>3804</v>
      </c>
      <c r="H715" s="9" t="s">
        <v>3805</v>
      </c>
      <c r="I715" s="9">
        <v>2021</v>
      </c>
      <c r="J715" s="9" t="s">
        <v>3794</v>
      </c>
      <c r="K715" s="9" t="s">
        <v>3529</v>
      </c>
      <c r="L715" s="9" t="s">
        <v>3534</v>
      </c>
      <c r="M715" s="9" t="s">
        <v>3806</v>
      </c>
      <c r="N715" s="9" t="s">
        <v>3340</v>
      </c>
      <c r="O715" s="9" t="s">
        <v>113</v>
      </c>
      <c r="P715" s="9">
        <v>1</v>
      </c>
      <c r="Q715" s="10" t="s">
        <v>3797</v>
      </c>
      <c r="R715" s="9" t="s">
        <v>525</v>
      </c>
      <c r="S715" s="9" t="s">
        <v>3341</v>
      </c>
    </row>
    <row r="716" spans="1:19">
      <c r="A716" s="9" t="s">
        <v>74</v>
      </c>
      <c r="B716" s="9" t="s">
        <v>3333</v>
      </c>
      <c r="C716" s="9" t="s">
        <v>77</v>
      </c>
      <c r="D716" s="9" t="s">
        <v>3807</v>
      </c>
      <c r="E716" s="9" t="s">
        <v>3808</v>
      </c>
      <c r="F716" s="9" t="s">
        <v>3398</v>
      </c>
      <c r="G716" s="9" t="s">
        <v>3809</v>
      </c>
      <c r="H716" s="9" t="s">
        <v>957</v>
      </c>
      <c r="I716" s="9">
        <v>2023</v>
      </c>
      <c r="J716" s="9" t="s">
        <v>3794</v>
      </c>
      <c r="K716" s="9" t="s">
        <v>3810</v>
      </c>
      <c r="L716" s="9" t="s">
        <v>3811</v>
      </c>
      <c r="M716" s="9" t="s">
        <v>3812</v>
      </c>
      <c r="N716" s="9" t="s">
        <v>3346</v>
      </c>
      <c r="O716" s="9" t="s">
        <v>113</v>
      </c>
      <c r="P716" s="9">
        <v>1</v>
      </c>
      <c r="Q716" s="10" t="s">
        <v>3797</v>
      </c>
      <c r="R716" s="9" t="s">
        <v>525</v>
      </c>
      <c r="S716" s="9" t="s">
        <v>3341</v>
      </c>
    </row>
    <row r="717" spans="1:19">
      <c r="A717" s="9" t="s">
        <v>74</v>
      </c>
      <c r="B717" s="9" t="s">
        <v>3333</v>
      </c>
      <c r="C717" s="9" t="s">
        <v>77</v>
      </c>
      <c r="D717" s="9" t="s">
        <v>3813</v>
      </c>
      <c r="E717" s="9" t="s">
        <v>3814</v>
      </c>
      <c r="F717" s="9" t="s">
        <v>3398</v>
      </c>
      <c r="G717" s="9" t="s">
        <v>3815</v>
      </c>
      <c r="H717" s="9" t="s">
        <v>3805</v>
      </c>
      <c r="I717" s="9">
        <v>2021</v>
      </c>
      <c r="J717" s="9" t="s">
        <v>3794</v>
      </c>
      <c r="K717" s="9" t="s">
        <v>3655</v>
      </c>
      <c r="L717" s="9" t="s">
        <v>3682</v>
      </c>
      <c r="M717" s="9" t="s">
        <v>3806</v>
      </c>
      <c r="N717" s="9" t="s">
        <v>3340</v>
      </c>
      <c r="O717" s="9" t="s">
        <v>113</v>
      </c>
      <c r="P717" s="9">
        <v>1</v>
      </c>
      <c r="Q717" s="10" t="s">
        <v>3797</v>
      </c>
      <c r="R717" s="9" t="s">
        <v>525</v>
      </c>
      <c r="S717" s="9" t="s">
        <v>3341</v>
      </c>
    </row>
    <row r="718" spans="1:19">
      <c r="A718" s="9" t="s">
        <v>74</v>
      </c>
      <c r="B718" s="9" t="s">
        <v>3333</v>
      </c>
      <c r="C718" s="9" t="s">
        <v>77</v>
      </c>
      <c r="D718" s="9" t="s">
        <v>3816</v>
      </c>
      <c r="E718" s="9" t="s">
        <v>3817</v>
      </c>
      <c r="F718" s="9" t="s">
        <v>3818</v>
      </c>
      <c r="G718" s="9" t="s">
        <v>3819</v>
      </c>
      <c r="H718" s="9" t="s">
        <v>3820</v>
      </c>
      <c r="I718" s="9">
        <v>2026</v>
      </c>
      <c r="J718" s="9" t="s">
        <v>158</v>
      </c>
      <c r="K718" s="9" t="s">
        <v>3821</v>
      </c>
      <c r="L718" s="9" t="s">
        <v>3822</v>
      </c>
      <c r="M718" s="9" t="s">
        <v>3823</v>
      </c>
      <c r="N718" s="9" t="s">
        <v>3340</v>
      </c>
      <c r="O718" s="9" t="s">
        <v>113</v>
      </c>
      <c r="P718" s="9">
        <v>1</v>
      </c>
      <c r="Q718" s="9" t="s">
        <v>3824</v>
      </c>
      <c r="R718" s="9" t="s">
        <v>525</v>
      </c>
      <c r="S718" s="9" t="s">
        <v>3341</v>
      </c>
    </row>
    <row r="719" spans="1:19">
      <c r="A719" s="9" t="s">
        <v>78</v>
      </c>
      <c r="B719" s="9" t="s">
        <v>3825</v>
      </c>
      <c r="C719" s="9" t="s">
        <v>79</v>
      </c>
      <c r="D719" s="9" t="s">
        <v>3826</v>
      </c>
      <c r="E719" s="9" t="s">
        <v>3827</v>
      </c>
      <c r="F719" s="9" t="s">
        <v>3828</v>
      </c>
      <c r="G719" s="9" t="s">
        <v>3827</v>
      </c>
      <c r="H719" s="9" t="s">
        <v>3829</v>
      </c>
      <c r="I719" s="9">
        <v>2021</v>
      </c>
      <c r="J719" s="9" t="s">
        <v>130</v>
      </c>
      <c r="K719" s="9" t="s">
        <v>3830</v>
      </c>
      <c r="L719" s="9" t="s">
        <v>3831</v>
      </c>
      <c r="M719" s="9" t="s">
        <v>3832</v>
      </c>
      <c r="N719" s="9" t="s">
        <v>3832</v>
      </c>
      <c r="O719" s="9" t="s">
        <v>113</v>
      </c>
      <c r="P719" s="9">
        <v>1</v>
      </c>
      <c r="Q719" s="9"/>
      <c r="R719" s="9"/>
      <c r="S719" s="9" t="s">
        <v>3833</v>
      </c>
    </row>
    <row r="720" spans="1:19">
      <c r="A720" s="9" t="s">
        <v>78</v>
      </c>
      <c r="B720" s="9" t="s">
        <v>3825</v>
      </c>
      <c r="C720" s="9" t="s">
        <v>79</v>
      </c>
      <c r="D720" s="9" t="s">
        <v>3834</v>
      </c>
      <c r="E720" s="9" t="s">
        <v>3835</v>
      </c>
      <c r="F720" s="9" t="s">
        <v>3836</v>
      </c>
      <c r="G720" s="9" t="s">
        <v>3837</v>
      </c>
      <c r="H720" s="9" t="s">
        <v>3838</v>
      </c>
      <c r="I720" s="9">
        <v>2022</v>
      </c>
      <c r="J720" s="9" t="s">
        <v>158</v>
      </c>
      <c r="K720" s="9" t="s">
        <v>3839</v>
      </c>
      <c r="L720" s="9" t="s">
        <v>3840</v>
      </c>
      <c r="M720" s="9" t="s">
        <v>3832</v>
      </c>
      <c r="N720" s="9" t="s">
        <v>3832</v>
      </c>
      <c r="O720" s="9" t="s">
        <v>113</v>
      </c>
      <c r="P720" s="9">
        <v>1</v>
      </c>
      <c r="Q720" s="9"/>
      <c r="R720" s="9"/>
      <c r="S720" s="9" t="s">
        <v>3833</v>
      </c>
    </row>
    <row r="721" spans="1:19">
      <c r="A721" s="9" t="s">
        <v>78</v>
      </c>
      <c r="B721" s="9" t="s">
        <v>3825</v>
      </c>
      <c r="C721" s="9" t="s">
        <v>79</v>
      </c>
      <c r="D721" s="9" t="s">
        <v>3841</v>
      </c>
      <c r="E721" s="9" t="s">
        <v>3842</v>
      </c>
      <c r="F721" s="9" t="s">
        <v>3843</v>
      </c>
      <c r="G721" s="9" t="s">
        <v>3842</v>
      </c>
      <c r="H721" s="9" t="s">
        <v>3844</v>
      </c>
      <c r="I721" s="9">
        <v>2021</v>
      </c>
      <c r="J721" s="9" t="s">
        <v>130</v>
      </c>
      <c r="K721" s="9" t="s">
        <v>3845</v>
      </c>
      <c r="L721" s="9" t="s">
        <v>3846</v>
      </c>
      <c r="M721" s="9" t="s">
        <v>3832</v>
      </c>
      <c r="N721" s="9" t="s">
        <v>3832</v>
      </c>
      <c r="O721" s="9" t="s">
        <v>113</v>
      </c>
      <c r="P721" s="9">
        <v>1</v>
      </c>
      <c r="Q721" s="9"/>
      <c r="R721" s="9"/>
      <c r="S721" s="9" t="s">
        <v>3833</v>
      </c>
    </row>
    <row r="722" spans="1:19">
      <c r="A722" s="9" t="s">
        <v>78</v>
      </c>
      <c r="B722" s="9" t="s">
        <v>3825</v>
      </c>
      <c r="C722" s="9" t="s">
        <v>79</v>
      </c>
      <c r="D722" s="9" t="s">
        <v>3847</v>
      </c>
      <c r="E722" s="9" t="s">
        <v>3848</v>
      </c>
      <c r="F722" s="9" t="s">
        <v>3849</v>
      </c>
      <c r="G722" s="9" t="s">
        <v>3848</v>
      </c>
      <c r="H722" s="9" t="s">
        <v>1565</v>
      </c>
      <c r="I722" s="9">
        <v>2025</v>
      </c>
      <c r="J722" s="9" t="s">
        <v>130</v>
      </c>
      <c r="K722" s="9" t="s">
        <v>3850</v>
      </c>
      <c r="L722" s="9" t="s">
        <v>3851</v>
      </c>
      <c r="M722" s="9" t="s">
        <v>3832</v>
      </c>
      <c r="N722" s="9" t="s">
        <v>3832</v>
      </c>
      <c r="O722" s="9" t="s">
        <v>113</v>
      </c>
      <c r="P722" s="9">
        <v>1</v>
      </c>
      <c r="Q722" s="9"/>
      <c r="R722" s="9"/>
      <c r="S722" s="9" t="s">
        <v>3833</v>
      </c>
    </row>
    <row r="723" spans="1:19">
      <c r="A723" s="9" t="s">
        <v>78</v>
      </c>
      <c r="B723" s="9" t="s">
        <v>3825</v>
      </c>
      <c r="C723" s="9" t="s">
        <v>79</v>
      </c>
      <c r="D723" s="9" t="s">
        <v>3852</v>
      </c>
      <c r="E723" s="9" t="s">
        <v>3853</v>
      </c>
      <c r="F723" s="9" t="s">
        <v>3854</v>
      </c>
      <c r="G723" s="9" t="s">
        <v>3855</v>
      </c>
      <c r="H723" s="9" t="s">
        <v>727</v>
      </c>
      <c r="I723" s="9">
        <v>2023</v>
      </c>
      <c r="J723" s="9" t="s">
        <v>158</v>
      </c>
      <c r="K723" s="9" t="s">
        <v>3856</v>
      </c>
      <c r="L723" s="9" t="s">
        <v>3857</v>
      </c>
      <c r="M723" s="9" t="s">
        <v>3832</v>
      </c>
      <c r="N723" s="9" t="s">
        <v>3832</v>
      </c>
      <c r="O723" s="9" t="s">
        <v>113</v>
      </c>
      <c r="P723" s="9">
        <v>1</v>
      </c>
      <c r="Q723" s="9"/>
      <c r="R723" s="9"/>
      <c r="S723" s="9" t="s">
        <v>3833</v>
      </c>
    </row>
    <row r="724" spans="1:19">
      <c r="A724" s="9" t="s">
        <v>78</v>
      </c>
      <c r="B724" s="9" t="s">
        <v>3825</v>
      </c>
      <c r="C724" s="9" t="s">
        <v>79</v>
      </c>
      <c r="D724" s="9" t="s">
        <v>3858</v>
      </c>
      <c r="E724" s="9" t="s">
        <v>3859</v>
      </c>
      <c r="F724" s="9" t="s">
        <v>3860</v>
      </c>
      <c r="G724" s="9" t="s">
        <v>3861</v>
      </c>
      <c r="H724" s="9" t="s">
        <v>3862</v>
      </c>
      <c r="I724" s="9">
        <v>2022</v>
      </c>
      <c r="J724" s="9" t="s">
        <v>158</v>
      </c>
      <c r="K724" s="9" t="s">
        <v>3863</v>
      </c>
      <c r="L724" s="9" t="s">
        <v>3864</v>
      </c>
      <c r="M724" s="9" t="s">
        <v>3832</v>
      </c>
      <c r="N724" s="9" t="s">
        <v>3832</v>
      </c>
      <c r="O724" s="9" t="s">
        <v>113</v>
      </c>
      <c r="P724" s="9">
        <v>1</v>
      </c>
      <c r="Q724" s="9"/>
      <c r="R724" s="9"/>
      <c r="S724" s="9" t="s">
        <v>3833</v>
      </c>
    </row>
    <row r="725" spans="1:19">
      <c r="A725" s="9" t="s">
        <v>78</v>
      </c>
      <c r="B725" s="9" t="s">
        <v>3825</v>
      </c>
      <c r="C725" s="9" t="s">
        <v>79</v>
      </c>
      <c r="D725" s="9" t="s">
        <v>3865</v>
      </c>
      <c r="E725" s="9" t="s">
        <v>3866</v>
      </c>
      <c r="F725" s="9" t="s">
        <v>3867</v>
      </c>
      <c r="G725" s="9" t="s">
        <v>3866</v>
      </c>
      <c r="H725" s="9" t="s">
        <v>215</v>
      </c>
      <c r="I725" s="9">
        <v>2022</v>
      </c>
      <c r="J725" s="9" t="s">
        <v>130</v>
      </c>
      <c r="K725" s="9" t="s">
        <v>3839</v>
      </c>
      <c r="L725" s="9" t="s">
        <v>3868</v>
      </c>
      <c r="M725" s="9" t="s">
        <v>3832</v>
      </c>
      <c r="N725" s="9" t="s">
        <v>3832</v>
      </c>
      <c r="O725" s="9" t="s">
        <v>113</v>
      </c>
      <c r="P725" s="9">
        <v>1</v>
      </c>
      <c r="Q725" s="9"/>
      <c r="R725" s="9"/>
      <c r="S725" s="9" t="s">
        <v>3833</v>
      </c>
    </row>
    <row r="726" spans="1:19">
      <c r="A726" s="9" t="s">
        <v>78</v>
      </c>
      <c r="B726" s="9" t="s">
        <v>3825</v>
      </c>
      <c r="C726" s="9" t="s">
        <v>79</v>
      </c>
      <c r="D726" s="9" t="s">
        <v>3869</v>
      </c>
      <c r="E726" s="9" t="s">
        <v>3870</v>
      </c>
      <c r="F726" s="9" t="s">
        <v>3854</v>
      </c>
      <c r="G726" s="9" t="s">
        <v>3871</v>
      </c>
      <c r="H726" s="9" t="s">
        <v>727</v>
      </c>
      <c r="I726" s="9">
        <v>2023</v>
      </c>
      <c r="J726" s="9" t="s">
        <v>158</v>
      </c>
      <c r="K726" s="9" t="s">
        <v>3872</v>
      </c>
      <c r="L726" s="9" t="s">
        <v>3873</v>
      </c>
      <c r="M726" s="9" t="s">
        <v>3832</v>
      </c>
      <c r="N726" s="9" t="s">
        <v>3832</v>
      </c>
      <c r="O726" s="9" t="s">
        <v>113</v>
      </c>
      <c r="P726" s="9">
        <v>1</v>
      </c>
      <c r="Q726" s="9"/>
      <c r="R726" s="9"/>
      <c r="S726" s="9" t="s">
        <v>3833</v>
      </c>
    </row>
    <row r="727" spans="1:19">
      <c r="A727" s="9" t="s">
        <v>78</v>
      </c>
      <c r="B727" s="9" t="s">
        <v>3825</v>
      </c>
      <c r="C727" s="9" t="s">
        <v>79</v>
      </c>
      <c r="D727" s="9" t="s">
        <v>3874</v>
      </c>
      <c r="E727" s="9" t="s">
        <v>3875</v>
      </c>
      <c r="F727" s="9" t="s">
        <v>3876</v>
      </c>
      <c r="G727" s="9" t="s">
        <v>3875</v>
      </c>
      <c r="H727" s="9" t="s">
        <v>3844</v>
      </c>
      <c r="I727" s="9">
        <v>2021</v>
      </c>
      <c r="J727" s="9" t="s">
        <v>130</v>
      </c>
      <c r="K727" s="9" t="s">
        <v>3877</v>
      </c>
      <c r="L727" s="9" t="s">
        <v>3878</v>
      </c>
      <c r="M727" s="9" t="s">
        <v>3832</v>
      </c>
      <c r="N727" s="9" t="s">
        <v>3832</v>
      </c>
      <c r="O727" s="9" t="s">
        <v>113</v>
      </c>
      <c r="P727" s="9">
        <v>1</v>
      </c>
      <c r="Q727" s="9"/>
      <c r="R727" s="9"/>
      <c r="S727" s="9" t="s">
        <v>3833</v>
      </c>
    </row>
    <row r="728" spans="1:19">
      <c r="A728" s="9" t="s">
        <v>78</v>
      </c>
      <c r="B728" s="9" t="s">
        <v>3825</v>
      </c>
      <c r="C728" s="9" t="s">
        <v>79</v>
      </c>
      <c r="D728" s="9" t="s">
        <v>3879</v>
      </c>
      <c r="E728" s="9" t="s">
        <v>3880</v>
      </c>
      <c r="F728" s="9" t="s">
        <v>1027</v>
      </c>
      <c r="G728" s="9" t="s">
        <v>3881</v>
      </c>
      <c r="H728" s="9" t="s">
        <v>1029</v>
      </c>
      <c r="I728" s="9">
        <v>2025</v>
      </c>
      <c r="J728" s="9" t="s">
        <v>158</v>
      </c>
      <c r="K728" s="9" t="s">
        <v>3882</v>
      </c>
      <c r="L728" s="9" t="s">
        <v>3883</v>
      </c>
      <c r="M728" s="9" t="s">
        <v>3832</v>
      </c>
      <c r="N728" s="9" t="s">
        <v>3832</v>
      </c>
      <c r="O728" s="9" t="s">
        <v>113</v>
      </c>
      <c r="P728" s="9">
        <v>1</v>
      </c>
      <c r="Q728" s="9"/>
      <c r="R728" s="9"/>
      <c r="S728" s="9" t="s">
        <v>3833</v>
      </c>
    </row>
    <row r="729" spans="1:19">
      <c r="A729" s="9" t="s">
        <v>78</v>
      </c>
      <c r="B729" s="9" t="s">
        <v>3825</v>
      </c>
      <c r="C729" s="9" t="s">
        <v>79</v>
      </c>
      <c r="D729" s="9" t="s">
        <v>3884</v>
      </c>
      <c r="E729" s="9" t="s">
        <v>3885</v>
      </c>
      <c r="F729" s="9" t="s">
        <v>3758</v>
      </c>
      <c r="G729" s="9" t="s">
        <v>3885</v>
      </c>
      <c r="H729" s="9" t="s">
        <v>3886</v>
      </c>
      <c r="I729" s="9">
        <v>2022</v>
      </c>
      <c r="J729" s="9" t="s">
        <v>130</v>
      </c>
      <c r="K729" s="9" t="s">
        <v>3887</v>
      </c>
      <c r="L729" s="9" t="s">
        <v>3888</v>
      </c>
      <c r="M729" s="9" t="s">
        <v>3889</v>
      </c>
      <c r="N729" s="9" t="s">
        <v>3832</v>
      </c>
      <c r="O729" s="9" t="s">
        <v>113</v>
      </c>
      <c r="P729" s="9">
        <v>1</v>
      </c>
      <c r="Q729" s="9" t="s">
        <v>3890</v>
      </c>
      <c r="R729" s="9" t="s">
        <v>525</v>
      </c>
      <c r="S729" s="9" t="s">
        <v>3833</v>
      </c>
    </row>
    <row r="730" spans="1:19">
      <c r="A730" s="9" t="s">
        <v>78</v>
      </c>
      <c r="B730" s="9" t="s">
        <v>3825</v>
      </c>
      <c r="C730" s="9" t="s">
        <v>79</v>
      </c>
      <c r="D730" s="9" t="s">
        <v>3891</v>
      </c>
      <c r="E730" s="9" t="s">
        <v>3892</v>
      </c>
      <c r="F730" s="9" t="s">
        <v>3758</v>
      </c>
      <c r="G730" s="9" t="s">
        <v>3892</v>
      </c>
      <c r="H730" s="9" t="s">
        <v>3886</v>
      </c>
      <c r="I730" s="9">
        <v>2022</v>
      </c>
      <c r="J730" s="9" t="s">
        <v>130</v>
      </c>
      <c r="K730" s="9" t="s">
        <v>3893</v>
      </c>
      <c r="L730" s="9" t="s">
        <v>3894</v>
      </c>
      <c r="M730" s="9" t="s">
        <v>3889</v>
      </c>
      <c r="N730" s="9" t="s">
        <v>3832</v>
      </c>
      <c r="O730" s="9" t="s">
        <v>113</v>
      </c>
      <c r="P730" s="9">
        <v>1</v>
      </c>
      <c r="Q730" s="9" t="s">
        <v>3890</v>
      </c>
      <c r="R730" s="9" t="s">
        <v>525</v>
      </c>
      <c r="S730" s="9" t="s">
        <v>3833</v>
      </c>
    </row>
    <row r="731" spans="1:19">
      <c r="A731" s="9" t="s">
        <v>78</v>
      </c>
      <c r="B731" s="9" t="s">
        <v>3825</v>
      </c>
      <c r="C731" s="9" t="s">
        <v>79</v>
      </c>
      <c r="D731" s="9" t="s">
        <v>3895</v>
      </c>
      <c r="E731" s="9" t="s">
        <v>3896</v>
      </c>
      <c r="F731" s="9" t="s">
        <v>3897</v>
      </c>
      <c r="G731" s="9" t="s">
        <v>3896</v>
      </c>
      <c r="H731" s="9" t="s">
        <v>3898</v>
      </c>
      <c r="I731" s="9">
        <v>2021</v>
      </c>
      <c r="J731" s="9" t="s">
        <v>130</v>
      </c>
      <c r="K731" s="9" t="s">
        <v>3899</v>
      </c>
      <c r="L731" s="9" t="s">
        <v>3900</v>
      </c>
      <c r="M731" s="9" t="s">
        <v>3901</v>
      </c>
      <c r="N731" s="9" t="s">
        <v>3902</v>
      </c>
      <c r="O731" s="9" t="s">
        <v>113</v>
      </c>
      <c r="P731" s="9">
        <v>1</v>
      </c>
      <c r="Q731" s="9" t="s">
        <v>3903</v>
      </c>
      <c r="R731" s="9" t="s">
        <v>525</v>
      </c>
      <c r="S731" s="9" t="s">
        <v>3833</v>
      </c>
    </row>
  </sheetData>
  <autoFilter ref="A1:S7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22" customWidth="1"/>
    <col min="2" max="3" width="28" customWidth="1"/>
    <col min="4" max="4" width="16" customWidth="1"/>
    <col min="5" max="5" width="20" customWidth="1"/>
    <col min="6" max="6" width="12" customWidth="1"/>
    <col min="7" max="7" width="8" customWidth="1"/>
    <col min="8" max="8" width="60" customWidth="1"/>
    <col min="9" max="9" width="44" customWidth="1"/>
    <col min="10" max="10" width="10" customWidth="1"/>
    <col min="11" max="11" width="50" customWidth="1"/>
  </cols>
  <sheetData>
    <row r="1" spans="1:11" ht="26.4">
      <c r="A1" s="1" t="s">
        <v>3904</v>
      </c>
      <c r="B1" s="1" t="s">
        <v>85</v>
      </c>
      <c r="C1" s="1" t="s">
        <v>86</v>
      </c>
      <c r="D1" s="1" t="s">
        <v>87</v>
      </c>
      <c r="E1" s="1" t="s">
        <v>90</v>
      </c>
      <c r="F1" s="1" t="s">
        <v>91</v>
      </c>
      <c r="G1" s="1" t="s">
        <v>93</v>
      </c>
      <c r="H1" s="1" t="s">
        <v>94</v>
      </c>
      <c r="I1" s="1" t="s">
        <v>96</v>
      </c>
      <c r="J1" s="1" t="s">
        <v>3905</v>
      </c>
      <c r="K1" s="1" t="s">
        <v>3906</v>
      </c>
    </row>
    <row r="2" spans="1:11">
      <c r="A2" s="9" t="s">
        <v>19</v>
      </c>
      <c r="B2" s="9" t="s">
        <v>103</v>
      </c>
      <c r="C2" s="9" t="s">
        <v>22</v>
      </c>
      <c r="D2" s="9" t="s">
        <v>3907</v>
      </c>
      <c r="E2" s="9" t="s">
        <v>3908</v>
      </c>
      <c r="F2" s="9" t="s">
        <v>3909</v>
      </c>
      <c r="G2" s="9" t="s">
        <v>3794</v>
      </c>
      <c r="H2" s="9" t="s">
        <v>3910</v>
      </c>
      <c r="I2" s="9" t="s">
        <v>3911</v>
      </c>
      <c r="J2" s="9">
        <v>0.59</v>
      </c>
      <c r="K2" s="9" t="s">
        <v>3912</v>
      </c>
    </row>
    <row r="3" spans="1:11">
      <c r="A3" s="9" t="s">
        <v>19</v>
      </c>
      <c r="B3" s="9" t="s">
        <v>103</v>
      </c>
      <c r="C3" s="9" t="s">
        <v>22</v>
      </c>
      <c r="D3" s="9" t="s">
        <v>3913</v>
      </c>
      <c r="E3" s="9" t="s">
        <v>3914</v>
      </c>
      <c r="F3" s="9" t="s">
        <v>3915</v>
      </c>
      <c r="G3" s="9" t="s">
        <v>3794</v>
      </c>
      <c r="H3" s="9" t="s">
        <v>3916</v>
      </c>
      <c r="I3" s="9" t="s">
        <v>3911</v>
      </c>
      <c r="J3" s="9">
        <v>0.59</v>
      </c>
      <c r="K3" s="9" t="s">
        <v>3912</v>
      </c>
    </row>
  </sheetData>
  <autoFilter ref="A1:K3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26" customWidth="1"/>
    <col min="2" max="2" width="40" customWidth="1"/>
    <col min="3" max="3" width="30" customWidth="1"/>
  </cols>
  <sheetData>
    <row r="1" spans="1:3">
      <c r="A1" s="1" t="s">
        <v>1</v>
      </c>
      <c r="B1" s="1" t="s">
        <v>3917</v>
      </c>
      <c r="C1" s="1" t="s">
        <v>3918</v>
      </c>
    </row>
    <row r="2" spans="1:3">
      <c r="A2" s="9" t="s">
        <v>19</v>
      </c>
      <c r="B2" s="9" t="s">
        <v>3919</v>
      </c>
      <c r="C2" s="9" t="s">
        <v>3920</v>
      </c>
    </row>
    <row r="3" spans="1:3">
      <c r="A3" s="9" t="s">
        <v>29</v>
      </c>
      <c r="B3" s="9" t="s">
        <v>29</v>
      </c>
      <c r="C3" s="9" t="s">
        <v>3921</v>
      </c>
    </row>
    <row r="4" spans="1:3">
      <c r="A4" s="9" t="s">
        <v>41</v>
      </c>
      <c r="B4" s="9" t="s">
        <v>3922</v>
      </c>
      <c r="C4" s="9" t="s">
        <v>3923</v>
      </c>
    </row>
    <row r="5" spans="1:3">
      <c r="A5" s="9" t="s">
        <v>50</v>
      </c>
      <c r="B5" s="9" t="s">
        <v>50</v>
      </c>
      <c r="C5" s="9" t="s">
        <v>3924</v>
      </c>
    </row>
    <row r="6" spans="1:3">
      <c r="A6" s="9" t="s">
        <v>52</v>
      </c>
      <c r="B6" s="9" t="s">
        <v>52</v>
      </c>
      <c r="C6" s="9" t="s">
        <v>3925</v>
      </c>
    </row>
    <row r="7" spans="1:3">
      <c r="A7" s="9" t="s">
        <v>66</v>
      </c>
      <c r="B7" s="9" t="s">
        <v>3926</v>
      </c>
      <c r="C7" s="9" t="s">
        <v>3927</v>
      </c>
    </row>
    <row r="8" spans="1:3">
      <c r="A8" s="9" t="s">
        <v>69</v>
      </c>
      <c r="B8" s="9" t="s">
        <v>69</v>
      </c>
      <c r="C8" s="9" t="s">
        <v>3928</v>
      </c>
    </row>
    <row r="9" spans="1:3">
      <c r="A9" s="9" t="s">
        <v>71</v>
      </c>
      <c r="B9" s="9" t="s">
        <v>3929</v>
      </c>
      <c r="C9" s="9" t="s">
        <v>3930</v>
      </c>
    </row>
    <row r="10" spans="1:3">
      <c r="A10" s="9" t="s">
        <v>74</v>
      </c>
      <c r="B10" s="9" t="s">
        <v>74</v>
      </c>
      <c r="C10" s="9" t="s">
        <v>3931</v>
      </c>
    </row>
    <row r="11" spans="1:3">
      <c r="A11" s="9" t="s">
        <v>78</v>
      </c>
      <c r="B11" s="9" t="s">
        <v>78</v>
      </c>
      <c r="C11" s="9" t="s">
        <v>3932</v>
      </c>
    </row>
  </sheetData>
  <autoFilter ref="A1:C1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34" customWidth="1"/>
    <col min="2" max="2" width="24" customWidth="1"/>
    <col min="3" max="3" width="34" customWidth="1"/>
    <col min="4" max="4" width="12" customWidth="1"/>
    <col min="5" max="6" width="10" customWidth="1"/>
    <col min="7" max="7" width="18" customWidth="1"/>
  </cols>
  <sheetData>
    <row r="1" spans="1:7" ht="39.6">
      <c r="A1" s="1" t="s">
        <v>3933</v>
      </c>
      <c r="B1" s="1" t="s">
        <v>3904</v>
      </c>
      <c r="C1" s="1" t="s">
        <v>3934</v>
      </c>
      <c r="D1" s="1" t="s">
        <v>3935</v>
      </c>
      <c r="E1" s="1" t="s">
        <v>3936</v>
      </c>
      <c r="F1" s="1" t="s">
        <v>3937</v>
      </c>
      <c r="G1" s="1" t="s">
        <v>3938</v>
      </c>
    </row>
    <row r="2" spans="1:7">
      <c r="A2" s="9" t="s">
        <v>103</v>
      </c>
      <c r="B2" s="9" t="s">
        <v>19</v>
      </c>
      <c r="C2" s="9" t="s">
        <v>22</v>
      </c>
      <c r="D2" s="9">
        <v>271</v>
      </c>
      <c r="E2" s="9">
        <v>269</v>
      </c>
      <c r="F2" s="9">
        <v>2</v>
      </c>
      <c r="G2" s="9">
        <v>0</v>
      </c>
    </row>
    <row r="3" spans="1:7">
      <c r="A3" s="9" t="s">
        <v>1561</v>
      </c>
      <c r="B3" s="9" t="s">
        <v>29</v>
      </c>
      <c r="C3" s="9" t="s">
        <v>30</v>
      </c>
      <c r="D3" s="9">
        <v>100</v>
      </c>
      <c r="E3" s="9">
        <v>100</v>
      </c>
      <c r="F3" s="9">
        <v>0</v>
      </c>
      <c r="G3" s="9">
        <v>0</v>
      </c>
    </row>
    <row r="4" spans="1:7">
      <c r="A4" s="9" t="s">
        <v>2119</v>
      </c>
      <c r="B4" s="9" t="s">
        <v>41</v>
      </c>
      <c r="C4" s="9" t="s">
        <v>42</v>
      </c>
      <c r="D4" s="9">
        <v>20</v>
      </c>
      <c r="E4" s="9">
        <v>20</v>
      </c>
      <c r="F4" s="9">
        <v>0</v>
      </c>
      <c r="G4" s="9">
        <v>0</v>
      </c>
    </row>
    <row r="5" spans="1:7">
      <c r="A5" s="9" t="s">
        <v>2216</v>
      </c>
      <c r="B5" s="9" t="s">
        <v>50</v>
      </c>
      <c r="C5" s="9" t="s">
        <v>51</v>
      </c>
      <c r="D5" s="9">
        <v>87</v>
      </c>
      <c r="E5" s="9">
        <v>87</v>
      </c>
      <c r="F5" s="9">
        <v>0</v>
      </c>
      <c r="G5" s="9">
        <v>0</v>
      </c>
    </row>
    <row r="6" spans="1:7">
      <c r="A6" s="9" t="s">
        <v>2676</v>
      </c>
      <c r="B6" s="9" t="s">
        <v>52</v>
      </c>
      <c r="C6" s="9" t="s">
        <v>53</v>
      </c>
      <c r="D6" s="9">
        <v>43</v>
      </c>
      <c r="E6" s="9">
        <v>43</v>
      </c>
      <c r="F6" s="9">
        <v>0</v>
      </c>
      <c r="G6" s="9">
        <v>0</v>
      </c>
    </row>
    <row r="7" spans="1:7">
      <c r="A7" s="9" t="s">
        <v>2891</v>
      </c>
      <c r="B7" s="9" t="s">
        <v>66</v>
      </c>
      <c r="C7" s="9" t="s">
        <v>68</v>
      </c>
      <c r="D7" s="9">
        <v>65</v>
      </c>
      <c r="E7" s="9">
        <v>65</v>
      </c>
      <c r="F7" s="9">
        <v>0</v>
      </c>
      <c r="G7" s="9">
        <v>0</v>
      </c>
    </row>
    <row r="8" spans="1:7">
      <c r="A8" s="9" t="s">
        <v>3181</v>
      </c>
      <c r="B8" s="9" t="s">
        <v>69</v>
      </c>
      <c r="C8" s="9" t="s">
        <v>70</v>
      </c>
      <c r="D8" s="9">
        <v>1</v>
      </c>
      <c r="E8" s="9">
        <v>1</v>
      </c>
      <c r="F8" s="9">
        <v>0</v>
      </c>
      <c r="G8" s="9">
        <v>0</v>
      </c>
    </row>
    <row r="9" spans="1:7">
      <c r="A9" s="9" t="s">
        <v>3190</v>
      </c>
      <c r="B9" s="9" t="s">
        <v>71</v>
      </c>
      <c r="C9" s="9" t="s">
        <v>73</v>
      </c>
      <c r="D9" s="9">
        <v>28</v>
      </c>
      <c r="E9" s="9">
        <v>28</v>
      </c>
      <c r="F9" s="9">
        <v>0</v>
      </c>
      <c r="G9" s="9">
        <v>0</v>
      </c>
    </row>
    <row r="10" spans="1:7">
      <c r="A10" s="9" t="s">
        <v>3333</v>
      </c>
      <c r="B10" s="9" t="s">
        <v>74</v>
      </c>
      <c r="C10" s="9" t="s">
        <v>77</v>
      </c>
      <c r="D10" s="9">
        <v>104</v>
      </c>
      <c r="E10" s="9">
        <v>104</v>
      </c>
      <c r="F10" s="9">
        <v>0</v>
      </c>
      <c r="G10" s="9">
        <v>4</v>
      </c>
    </row>
    <row r="11" spans="1:7">
      <c r="A11" s="9" t="s">
        <v>3825</v>
      </c>
      <c r="B11" s="9" t="s">
        <v>78</v>
      </c>
      <c r="C11" s="9" t="s">
        <v>79</v>
      </c>
      <c r="D11" s="9">
        <v>13</v>
      </c>
      <c r="E11" s="9">
        <v>13</v>
      </c>
      <c r="F11" s="9">
        <v>0</v>
      </c>
      <c r="G11" s="9">
        <v>0</v>
      </c>
    </row>
    <row r="13" spans="1:7">
      <c r="A13" s="8" t="s">
        <v>3939</v>
      </c>
    </row>
  </sheetData>
  <autoFilter ref="A1:G1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Startup_Summary</vt:lpstr>
      <vt:lpstr>Patents_Merged</vt:lpstr>
      <vt:lpstr>Rejected_Rows</vt:lpstr>
      <vt:lpstr>Alias_Table</vt:lpstr>
      <vt:lpstr>File_Checks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Glenisha Dsouza</cp:lastModifiedBy>
  <cp:revision>0</cp:revision>
  <dcterms:created xsi:type="dcterms:W3CDTF">2026-10-19T06:15:01Z</dcterms:created>
  <dcterms:modified xsi:type="dcterms:W3CDTF">2026-10-19T06:24:59Z</dcterms:modified>
  <dc:language>en-US</dc:language>
</cp:coreProperties>
</file>