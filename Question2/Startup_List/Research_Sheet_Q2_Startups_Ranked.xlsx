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BF68AF-0FBB-4CC3-A085-6E7EFB15605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artups" sheetId="1" r:id="rId1"/>
    <sheet name="Not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5" i="1" l="1"/>
  <c r="S25" i="1"/>
  <c r="Q25" i="1"/>
  <c r="R25" i="1" s="1"/>
  <c r="P25" i="1"/>
  <c r="O25" i="1"/>
  <c r="N25" i="1"/>
  <c r="U24" i="1"/>
  <c r="S24" i="1"/>
  <c r="Q24" i="1"/>
  <c r="R24" i="1" s="1"/>
  <c r="P24" i="1"/>
  <c r="O24" i="1"/>
  <c r="N24" i="1"/>
  <c r="Q23" i="1"/>
  <c r="R23" i="1" s="1"/>
  <c r="O23" i="1"/>
  <c r="N23" i="1"/>
  <c r="Q22" i="1"/>
  <c r="R22" i="1" s="1"/>
  <c r="O22" i="1"/>
  <c r="N22" i="1"/>
  <c r="U22" i="1" s="1"/>
  <c r="Q21" i="1"/>
  <c r="R21" i="1" s="1"/>
  <c r="O21" i="1"/>
  <c r="N21" i="1"/>
  <c r="U21" i="1" s="1"/>
  <c r="Q20" i="1"/>
  <c r="R20" i="1" s="1"/>
  <c r="O20" i="1"/>
  <c r="N20" i="1"/>
  <c r="Q19" i="1"/>
  <c r="R19" i="1" s="1"/>
  <c r="O19" i="1"/>
  <c r="N19" i="1"/>
  <c r="R18" i="1"/>
  <c r="Q18" i="1"/>
  <c r="O18" i="1"/>
  <c r="N18" i="1"/>
  <c r="R17" i="1"/>
  <c r="Q17" i="1"/>
  <c r="O17" i="1"/>
  <c r="N17" i="1"/>
  <c r="U17" i="1" s="1"/>
  <c r="U16" i="1"/>
  <c r="R16" i="1"/>
  <c r="Q16" i="1"/>
  <c r="O16" i="1"/>
  <c r="N16" i="1"/>
  <c r="Q15" i="1"/>
  <c r="R15" i="1" s="1"/>
  <c r="O15" i="1"/>
  <c r="N15" i="1"/>
  <c r="R14" i="1"/>
  <c r="Q14" i="1"/>
  <c r="O14" i="1"/>
  <c r="N14" i="1"/>
  <c r="Q13" i="1"/>
  <c r="R13" i="1" s="1"/>
  <c r="O13" i="1"/>
  <c r="N13" i="1"/>
  <c r="Q12" i="1"/>
  <c r="R12" i="1" s="1"/>
  <c r="O12" i="1"/>
  <c r="N12" i="1"/>
  <c r="U12" i="1" s="1"/>
  <c r="Q11" i="1"/>
  <c r="R11" i="1" s="1"/>
  <c r="O11" i="1"/>
  <c r="N11" i="1"/>
  <c r="Q10" i="1"/>
  <c r="R10" i="1" s="1"/>
  <c r="O10" i="1"/>
  <c r="N10" i="1"/>
  <c r="U10" i="1" s="1"/>
  <c r="Q9" i="1"/>
  <c r="R9" i="1" s="1"/>
  <c r="O9" i="1"/>
  <c r="N9" i="1"/>
  <c r="U9" i="1" s="1"/>
  <c r="Q8" i="1"/>
  <c r="R8" i="1" s="1"/>
  <c r="O8" i="1"/>
  <c r="N8" i="1"/>
  <c r="U8" i="1" s="1"/>
  <c r="Q7" i="1"/>
  <c r="R7" i="1" s="1"/>
  <c r="O7" i="1"/>
  <c r="N7" i="1"/>
  <c r="U7" i="1" s="1"/>
  <c r="R6" i="1"/>
  <c r="Q6" i="1"/>
  <c r="O6" i="1"/>
  <c r="N6" i="1"/>
  <c r="U6" i="1" s="1"/>
  <c r="R5" i="1"/>
  <c r="Q5" i="1"/>
  <c r="O5" i="1"/>
  <c r="N5" i="1"/>
  <c r="R4" i="1"/>
  <c r="Q4" i="1"/>
  <c r="O4" i="1"/>
  <c r="N4" i="1"/>
  <c r="U4" i="1" s="1"/>
  <c r="Q3" i="1"/>
  <c r="R3" i="1" s="1"/>
  <c r="O3" i="1"/>
  <c r="N3" i="1"/>
  <c r="U3" i="1" s="1"/>
  <c r="R2" i="1"/>
  <c r="Q2" i="1"/>
  <c r="O2" i="1"/>
  <c r="N2" i="1"/>
  <c r="U15" i="1" l="1"/>
  <c r="U18" i="1"/>
  <c r="U5" i="1"/>
  <c r="U19" i="1"/>
  <c r="U14" i="1"/>
  <c r="P14" i="1" s="1"/>
  <c r="S14" i="1" s="1"/>
  <c r="U13" i="1"/>
  <c r="U20" i="1"/>
  <c r="U11" i="1"/>
  <c r="P11" i="1" s="1"/>
  <c r="S11" i="1" s="1"/>
  <c r="U23" i="1"/>
  <c r="P23" i="1" s="1"/>
  <c r="S23" i="1" s="1"/>
  <c r="U2" i="1"/>
  <c r="P2" i="1" s="1"/>
  <c r="S2" i="1" s="1"/>
  <c r="P13" i="1"/>
  <c r="S13" i="1" s="1"/>
  <c r="P22" i="1"/>
  <c r="S22" i="1" s="1"/>
  <c r="P19" i="1"/>
  <c r="S19" i="1" s="1"/>
  <c r="P10" i="1"/>
  <c r="S10" i="1" s="1"/>
  <c r="P20" i="1" l="1"/>
  <c r="S20" i="1" s="1"/>
  <c r="P18" i="1"/>
  <c r="S18" i="1" s="1"/>
  <c r="P4" i="1"/>
  <c r="S4" i="1" s="1"/>
  <c r="P3" i="1"/>
  <c r="S3" i="1" s="1"/>
  <c r="P12" i="1"/>
  <c r="S12" i="1" s="1"/>
  <c r="P5" i="1"/>
  <c r="S5" i="1" s="1"/>
  <c r="P17" i="1"/>
  <c r="S17" i="1" s="1"/>
  <c r="P6" i="1"/>
  <c r="S6" i="1" s="1"/>
  <c r="P8" i="1"/>
  <c r="S8" i="1" s="1"/>
  <c r="P21" i="1"/>
  <c r="S21" i="1" s="1"/>
  <c r="P7" i="1"/>
  <c r="S7" i="1" s="1"/>
  <c r="P15" i="1"/>
  <c r="S15" i="1" s="1"/>
  <c r="P9" i="1"/>
  <c r="S9" i="1" s="1"/>
  <c r="P16" i="1"/>
  <c r="S16" i="1" s="1"/>
</calcChain>
</file>

<file path=xl/sharedStrings.xml><?xml version="1.0" encoding="utf-8"?>
<sst xmlns="http://schemas.openxmlformats.org/spreadsheetml/2006/main" count="270" uniqueCount="184">
  <si>
    <t>S.No</t>
  </si>
  <si>
    <t>Name</t>
  </si>
  <si>
    <t>Description</t>
  </si>
  <si>
    <t>Website URL</t>
  </si>
  <si>
    <t>City</t>
  </si>
  <si>
    <t>Year Founded</t>
  </si>
  <si>
    <t>Type</t>
  </si>
  <si>
    <t>Employees (Inc42 Datalabs)</t>
  </si>
  <si>
    <t>Funding</t>
  </si>
  <si>
    <t>Funding Type</t>
  </si>
  <si>
    <t>Category</t>
  </si>
  <si>
    <t>Source</t>
  </si>
  <si>
    <t>Numeric Funding (USD M)</t>
  </si>
  <si>
    <t>Method A Rank (total funding, highest first)</t>
  </si>
  <si>
    <t>Method B Rank (employees, highest first; cross-check)</t>
  </si>
  <si>
    <t>Final Rank (rank of average of A and B; ties go to higher funding)</t>
  </si>
  <si>
    <t>Years operating</t>
  </si>
  <si>
    <t>Funding per year (USD M)</t>
  </si>
  <si>
    <t>In top 20?</t>
  </si>
  <si>
    <t>Counted as startup? (helper)</t>
  </si>
  <si>
    <t>Average of Method A and B (helper)</t>
  </si>
  <si>
    <t>Ola Electric</t>
  </si>
  <si>
    <t>Electric two-wheeler maker that also builds lithium-ion cells; runs its own manufacturing plant in Tamil Nadu.</t>
  </si>
  <si>
    <t>https://www.olaelectric.com/</t>
  </si>
  <si>
    <t>Bengaluru</t>
  </si>
  <si>
    <t>Listed company (new-age EV maker)</t>
  </si>
  <si>
    <t>$1.50 Bn cumulative (Inc42 Datalabs, 2026)</t>
  </si>
  <si>
    <t>Raised by company (equity + debt)</t>
  </si>
  <si>
    <t>EV &amp; charging</t>
  </si>
  <si>
    <t>https://inc42.com/company/ola-electric/</t>
  </si>
  <si>
    <t>Yes</t>
  </si>
  <si>
    <t>ACME Solar</t>
  </si>
  <si>
    <t>Listed renewable developer (solar, wind, storage).</t>
  </si>
  <si>
    <t>https://www.acme.in/</t>
  </si>
  <si>
    <t>Gurugram (verify)</t>
  </si>
  <si>
    <t>Listed company, utility-scale</t>
  </si>
  <si>
    <t>$1.25 Bn cumulative (Inc42 Datalabs, 2026)</t>
  </si>
  <si>
    <t>Post-IPO debt</t>
  </si>
  <si>
    <t>Solar &amp; clean energy</t>
  </si>
  <si>
    <t>https://inc42.com/company/acme-solar/</t>
  </si>
  <si>
    <t>Ather Energy</t>
  </si>
  <si>
    <t>Bengaluru electric scooter maker with its own fast-charging network.</t>
  </si>
  <si>
    <t>https://www.atherenergy.com/</t>
  </si>
  <si>
    <t>$574.27 Mn cumulative (Inc42 Datalabs, 2026)</t>
  </si>
  <si>
    <t>https://inc42.com/company/ather-energy/</t>
  </si>
  <si>
    <t>Euler Motors</t>
  </si>
  <si>
    <t>Designs and builds electric three-wheeler cargo vehicles for commercial fleets.</t>
  </si>
  <si>
    <t>https://eulermotors.com/</t>
  </si>
  <si>
    <t>New Delhi</t>
  </si>
  <si>
    <t>Private, VC-backed</t>
  </si>
  <si>
    <t>$376.94 Mn cumulative (Inc42 Datalabs, 2026)</t>
  </si>
  <si>
    <t>https://inc42.com/company/euler-motors/</t>
  </si>
  <si>
    <t>Battery Smart</t>
  </si>
  <si>
    <t>Battery-swapping network for electric two- and three-wheelers, serving mainly commercial drivers.</t>
  </si>
  <si>
    <t>https://www.batterysmart.in/</t>
  </si>
  <si>
    <t>$228.09 Mn cumulative (Inc42 Datalabs, 2026)</t>
  </si>
  <si>
    <t>https://inc42.com/company/battery-smart/</t>
  </si>
  <si>
    <t>Simple Energy</t>
  </si>
  <si>
    <t>Electric scooter maker with in-house powertrain and battery development.</t>
  </si>
  <si>
    <t>https://www.simpleenergy.in/</t>
  </si>
  <si>
    <t>$290.50 Mn cumulative (Inc42 Datalabs, 2026)</t>
  </si>
  <si>
    <t>https://inc42.com/company/simple-energy/</t>
  </si>
  <si>
    <t>River</t>
  </si>
  <si>
    <t>Electric scooter maker built around a single utility model (Indie). Raised a $120M Series C in Aug 2026.</t>
  </si>
  <si>
    <t>https://rideriver.com/</t>
  </si>
  <si>
    <t>$188.00 Mn cumulative (Inc42 Datalabs, 2026)</t>
  </si>
  <si>
    <t>https://techcrunch.com/2026/08/05/indian-ev-two-wheeler-startup-river-raises-120m-after-scaling-with-one-model/ ; https://inc42.com/company/river/</t>
  </si>
  <si>
    <t>SolarSquare</t>
  </si>
  <si>
    <t>Residential rooftop solar installer for homeowners.</t>
  </si>
  <si>
    <t>https://solarsquare.in/</t>
  </si>
  <si>
    <t>Mumbai</t>
  </si>
  <si>
    <t>$113.25 Mn cumulative (Inc42 Datalabs, 2026)</t>
  </si>
  <si>
    <t>https://inc42.com/company/solarsquare/</t>
  </si>
  <si>
    <t>Bounce</t>
  </si>
  <si>
    <t>Began as scooter rental; now sells electric scooters built around battery swapping.</t>
  </si>
  <si>
    <t>https://www.bounceinfinity.com/</t>
  </si>
  <si>
    <t>$238.06 Mn cumulative (Inc42 Datalabs, 2026)</t>
  </si>
  <si>
    <t>https://inc42.com/company/bounce/</t>
  </si>
  <si>
    <t>SUN Mobility</t>
  </si>
  <si>
    <t>Battery-swapping and energy infrastructure platform for electric vehicles.</t>
  </si>
  <si>
    <t>https://www.sunmobility.com/</t>
  </si>
  <si>
    <t>Private, corporate- and VC-backed</t>
  </si>
  <si>
    <t>$135.00 Mn cumulative (Inc42 Datalabs, 2026)</t>
  </si>
  <si>
    <t>https://inc42.com/company/sun-mobility/</t>
  </si>
  <si>
    <t>Ultraviolette Automotive</t>
  </si>
  <si>
    <t>Maker of high-performance electric motorcycles.</t>
  </si>
  <si>
    <t>https://ultraviolette.com/</t>
  </si>
  <si>
    <t>$220.90 Mn cumulative (Inc42 Datalabs, 2026)</t>
  </si>
  <si>
    <t>https://inc42.com/company/ultraviolette-automotive/</t>
  </si>
  <si>
    <t>Agratas</t>
  </si>
  <si>
    <t>Battery and gigafactory venture of Tata Sons.</t>
  </si>
  <si>
    <t>https://www.agratas.com/</t>
  </si>
  <si>
    <t>Bengaluru (verify)</t>
  </si>
  <si>
    <t>Corporate subsidiary (Tata Sons)</t>
  </si>
  <si>
    <t>$113.14 Mn cumulative (Inc42 Datalabs, 2026)</t>
  </si>
  <si>
    <t>Undisclosed round</t>
  </si>
  <si>
    <t>Energy storage</t>
  </si>
  <si>
    <t>https://inc42.com/company/agratas/</t>
  </si>
  <si>
    <t>EKA Mobility</t>
  </si>
  <si>
    <t>Electric buses and commercial vehicles; part of the Pinnacle Mobility group.</t>
  </si>
  <si>
    <t>https://ekamobility.com/</t>
  </si>
  <si>
    <t>Pune</t>
  </si>
  <si>
    <t>Private, group-backed</t>
  </si>
  <si>
    <t>$103.94 Mn cumulative (Inc42 Datalabs, 2026)</t>
  </si>
  <si>
    <t>https://inc42.com/company/eka-mobility/</t>
  </si>
  <si>
    <t>EV Co</t>
  </si>
  <si>
    <t>Inc42 entry shows one $463.86M round from British International Investment (Jul 2022).</t>
  </si>
  <si>
    <t>https://www.ev-co.in/</t>
  </si>
  <si>
    <t>Unclear, appears to be a corporate EV subsidiary</t>
  </si>
  <si>
    <t>$463.86 Mn, single round (Inc42 Datalabs)</t>
  </si>
  <si>
    <t>https://inc42.com/company/ev-co/</t>
  </si>
  <si>
    <t>Matter</t>
  </si>
  <si>
    <t>Electric motorcycle and battery/energy technology company.</t>
  </si>
  <si>
    <t>https://matter.in/</t>
  </si>
  <si>
    <t>Ahmedabad</t>
  </si>
  <si>
    <t>$88.00 Mn cumulative (Inc42 Datalabs, 2026)</t>
  </si>
  <si>
    <t>https://inc42.com/company/matter/</t>
  </si>
  <si>
    <t>Ecozen Solutions</t>
  </si>
  <si>
    <t>Solar-powered cold storage and irrigation pumps for farmers.</t>
  </si>
  <si>
    <t>https://www.ecozensolutions.com/</t>
  </si>
  <si>
    <t>$107.40 Mn cumulative (Inc42 Datalabs, 2026)</t>
  </si>
  <si>
    <t>https://inc42.com/company/ecozen-solutions/</t>
  </si>
  <si>
    <t>Smartron</t>
  </si>
  <si>
    <t>Consumer electronics and IoT company; core business is not environmental.</t>
  </si>
  <si>
    <t>https://www.smartron.com/</t>
  </si>
  <si>
    <t>Hyderabad</t>
  </si>
  <si>
    <t>Private</t>
  </si>
  <si>
    <t>$200.00 Mn cumulative (Inc42 Datalabs, 2026)</t>
  </si>
  <si>
    <t>Private equity</t>
  </si>
  <si>
    <t>https://inc42.com/company/smartron/</t>
  </si>
  <si>
    <t>Carbon Clean Solutions</t>
  </si>
  <si>
    <t>Industrial carbon-capture technology company, India-origin with HQ in London.</t>
  </si>
  <si>
    <t>https://www.carbonclean.com/</t>
  </si>
  <si>
    <t>London, UK (Mumbai operations)</t>
  </si>
  <si>
    <t>Private, VC-backed; HQ outside India</t>
  </si>
  <si>
    <t>$190.61 Mn cumulative (Inc42 Datalabs, 2026)</t>
  </si>
  <si>
    <t>Carbon &amp; emissions</t>
  </si>
  <si>
    <t>https://inc42.com/company/carbon-clean-solutions/</t>
  </si>
  <si>
    <t>Chakr Innovation</t>
  </si>
  <si>
    <t>Emission-control technology for diesel generators and industrial air pollution. Added from a second source (not in Inc42's visible top 25); single-source figure.</t>
  </si>
  <si>
    <t>https://chakr.in/</t>
  </si>
  <si>
    <t>About $65.7 Mn cumulative (businessconnectindia.in, 2026)</t>
  </si>
  <si>
    <t>https://businessconnectindia.in/top-indian-climate-tech-startups-2026/</t>
  </si>
  <si>
    <t>ChargeZone</t>
  </si>
  <si>
    <t>EV charging network operator.</t>
  </si>
  <si>
    <t>https://chargezone.com/</t>
  </si>
  <si>
    <t>Vadodara</t>
  </si>
  <si>
    <t>$86.11 Mn cumulative (Inc42 Datalabs, 2026)</t>
  </si>
  <si>
    <t>https://inc42.com/company/chargezone/</t>
  </si>
  <si>
    <t>Recykal</t>
  </si>
  <si>
    <t>Digital platform for recycling, waste traceability and circular-economy compliance.</t>
  </si>
  <si>
    <t>https://recykal.com/</t>
  </si>
  <si>
    <t>$60.19 Mn cumulative (Inc42 Datalabs, 2026)</t>
  </si>
  <si>
    <t>Waste &amp; circular</t>
  </si>
  <si>
    <t>https://inc42.com/company/recykal/</t>
  </si>
  <si>
    <t>Exponent Energy</t>
  </si>
  <si>
    <t>Fast-charging battery packs and charging stations for electric vehicles.</t>
  </si>
  <si>
    <t>https://exponent.energy/</t>
  </si>
  <si>
    <t>$65.41 Mn cumulative (Inc42 Datalabs, 2026)</t>
  </si>
  <si>
    <t>https://inc42.com/company/exponent-energy/</t>
  </si>
  <si>
    <t>ReNew Energy</t>
  </si>
  <si>
    <t>Large listed renewable power producer (wind, solar, hydro).</t>
  </si>
  <si>
    <t>https://www.renew.com/</t>
  </si>
  <si>
    <t>$4.38 Bn cumulative (Inc42 Datalabs, 2026)</t>
  </si>
  <si>
    <t>Mostly debt / project finance</t>
  </si>
  <si>
    <t>https://inc42.com/company/renew-power/</t>
  </si>
  <si>
    <t>No</t>
  </si>
  <si>
    <t>Gensol Engineering</t>
  </si>
  <si>
    <t>Listed solar EPC and EV leasing company; Inc42 profile classes it as an investor.</t>
  </si>
  <si>
    <t>https://www.gensol.in/</t>
  </si>
  <si>
    <t>Ahmedabad (verify)</t>
  </si>
  <si>
    <t>Listed company</t>
  </si>
  <si>
    <t>$76.80 Mn cumulative (Inc42 Datalabs, 2026)</t>
  </si>
  <si>
    <t>Debt financing</t>
  </si>
  <si>
    <t>https://inc42.com/company/gensol-engineering/</t>
  </si>
  <si>
    <t>Method A: total disclosed funding (equity + debt), highest first. This sets the top 20 and the Final Rank.</t>
  </si>
  <si>
    <t>Method B: employee headcount, highest first. A cross-check only. It does not change the Final Rank. Chakr has no headcount, so it shows n/a.</t>
  </si>
  <si>
    <t>Funding: Inc42 Datalabs 2026 unless the Source column says otherwise. Unaudited and includes debt. Years operating = 2026 minus Year Founded.</t>
  </si>
  <si>
    <t>Rows 22 to 27 are candidates screened out (not independent startups), mirroring the 'In top 20?' flag in the incubator sheet. Reasons are in column S.</t>
  </si>
  <si>
    <t>Website URLs, descriptions and HQ cities not tied to a cited source come from general knowledge and were not live-checked. Verify before submitting. Cells marked '(verify)' are the least certain.</t>
  </si>
  <si>
    <t>River's founding year is 2020 on Inc42 and 2021 per TechCrunch.</t>
  </si>
  <si>
    <t>RANKING RULE: (1) Only rows marked Yes in column T are ranked (ReNew and Gensol are marked No as listed power/engineering companies).</t>
  </si>
  <si>
    <t>(2) Method A ranks funding, highest first. Method B ranks employees, highest first. (3) Final Rank orders companies by the average of A and B; ties go to the higher-funded company. (4) The top 20 get 'Yes'.</t>
  </si>
  <si>
    <t>Caution: ACME Solar, EV Co, Smartron and Agratas are kept as eligible in this version, but they are listed, corporate-owned or not core environment startups. Set column T to No for any you want to drop and the ranks update.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</si>
</sst>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5" x14ac:knownFonts="1">
    <font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  <font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39979247413556324"/>
        <bgColor rgb="FF969696"/>
      </patternFill>
    </fill>
    <fill>
      <patternFill patternType="solid">
        <fgColor theme="4" tint="0.59978026673177287"/>
        <bgColor rgb="FFC5E0B4"/>
      </patternFill>
    </fill>
    <fill>
      <patternFill patternType="solid">
        <fgColor theme="4" tint="0.79979857783745845"/>
        <bgColor rgb="FFCCFFFF"/>
      </patternFill>
    </fill>
    <fill>
      <patternFill patternType="solid">
        <fgColor theme="9" tint="0.39979247413556324"/>
        <bgColor rgb="FFC5E0B4"/>
      </patternFill>
    </fill>
    <fill>
      <patternFill patternType="solid">
        <fgColor theme="9" tint="0.59978026673177287"/>
        <bgColor rgb="FFA9D18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2" fillId="0" borderId="0" xfId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1" applyAlignment="1">
      <alignment horizontal="center" vertical="top" wrapText="1"/>
    </xf>
    <xf numFmtId="164" fontId="3" fillId="0" borderId="0" xfId="1" applyNumberFormat="1" applyFont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65" fontId="0" fillId="0" borderId="0" xfId="0" applyNumberFormat="1"/>
    <xf numFmtId="0" fontId="4" fillId="0" borderId="0" xfId="0" applyFont="1"/>
    <xf numFmtId="0" fontId="0" fillId="0" borderId="0" xfId="0" applyAlignment="1">
      <alignment vertical="center"/>
    </xf>
    <xf numFmtId="165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zoomScale="37" zoomScaleNormal="115" workbookViewId="0">
      <selection activeCell="T18" sqref="T18"/>
    </sheetView>
  </sheetViews>
  <sheetFormatPr defaultColWidth="8.6640625" defaultRowHeight="14.4" x14ac:dyDescent="0.3"/>
  <cols>
    <col min="2" max="2" width="32.88671875" customWidth="1"/>
    <col min="3" max="3" width="27.77734375" customWidth="1"/>
    <col min="4" max="4" width="32.88671875" customWidth="1"/>
    <col min="5" max="5" width="28.109375" customWidth="1"/>
    <col min="6" max="6" width="15.21875" customWidth="1"/>
    <col min="7" max="7" width="18" customWidth="1"/>
    <col min="8" max="8" width="16" customWidth="1"/>
    <col min="9" max="9" width="23.5546875" customWidth="1"/>
    <col min="10" max="10" width="18.109375" customWidth="1"/>
    <col min="11" max="11" width="18.33203125" customWidth="1"/>
    <col min="12" max="13" width="26.88671875" customWidth="1"/>
    <col min="14" max="14" width="18.109375" customWidth="1"/>
    <col min="15" max="15" width="15.44140625" customWidth="1"/>
    <col min="16" max="16" width="22" customWidth="1"/>
    <col min="17" max="17" width="24.6640625" customWidth="1"/>
    <col min="18" max="18" width="25.88671875" customWidth="1"/>
    <col min="19" max="19" width="22.21875" customWidth="1"/>
    <col min="20" max="20" width="18" style="18" customWidth="1"/>
    <col min="21" max="21" width="18" customWidth="1"/>
  </cols>
  <sheetData>
    <row r="1" spans="1:21" ht="62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0" t="s">
        <v>19</v>
      </c>
      <c r="U1" s="3" t="s">
        <v>20</v>
      </c>
    </row>
    <row r="2" spans="1:21" ht="72.75" customHeight="1" x14ac:dyDescent="0.3">
      <c r="A2" s="4">
        <v>1</v>
      </c>
      <c r="B2" s="5" t="s">
        <v>21</v>
      </c>
      <c r="C2" s="6" t="s">
        <v>22</v>
      </c>
      <c r="D2" s="7" t="s">
        <v>23</v>
      </c>
      <c r="E2" s="5" t="s">
        <v>24</v>
      </c>
      <c r="F2" s="5">
        <v>2017</v>
      </c>
      <c r="G2" s="8" t="s">
        <v>25</v>
      </c>
      <c r="H2" s="8">
        <v>8996</v>
      </c>
      <c r="I2" s="8" t="s">
        <v>26</v>
      </c>
      <c r="J2" s="8" t="s">
        <v>27</v>
      </c>
      <c r="K2" s="8" t="s">
        <v>28</v>
      </c>
      <c r="L2" s="9" t="s">
        <v>29</v>
      </c>
      <c r="M2" s="10">
        <v>1500</v>
      </c>
      <c r="N2" s="11">
        <f t="shared" ref="N2:N25" si="0">IF($T2="Yes",COUNTIFS($T$2:$T$25,"Yes",$M$2:$M$25,"&gt;"&amp;M2)+1,"")</f>
        <v>1</v>
      </c>
      <c r="O2" s="12">
        <f t="shared" ref="O2:O25" si="1">IF(OR($T2&lt;&gt;"Yes",H2=""),"n/a",COUNTIFS($T$2:$T$25,"Yes",$H$2:$H$25,"&gt;"&amp;H2)+1)</f>
        <v>1</v>
      </c>
      <c r="P2" s="13">
        <f t="shared" ref="P2:P25" si="2">IF($T2="Yes",COUNTIFS($T$2:$T$25,"Yes",$U$2:$U$25,"&lt;"&amp;U2)+COUNTIFS($T$2:$T$25,"Yes",$U$2:$U$25,U2,$M$2:$M$25,"&gt;"&amp;M2)+1,"")</f>
        <v>1</v>
      </c>
      <c r="Q2" s="4">
        <f t="shared" ref="Q2:Q25" si="3">2026-F2</f>
        <v>9</v>
      </c>
      <c r="R2" s="14">
        <f t="shared" ref="R2:R25" si="4">IF(Q2&gt;0,ROUND(M2/Q2,1),"")</f>
        <v>166.7</v>
      </c>
      <c r="S2" s="15" t="str">
        <f t="shared" ref="S2:S23" si="5">IF(T2="Yes",IF(P2&lt;=20,"Yes","No (rank "&amp;P2&amp;")"),"None")</f>
        <v>Yes</v>
      </c>
      <c r="T2" s="4" t="s">
        <v>30</v>
      </c>
      <c r="U2" s="19">
        <f t="shared" ref="U2:U25" si="6">IF($T2="Yes",(N2+O2)/2,"")</f>
        <v>1</v>
      </c>
    </row>
    <row r="3" spans="1:21" ht="72" customHeight="1" x14ac:dyDescent="0.3">
      <c r="A3" s="4">
        <v>2</v>
      </c>
      <c r="B3" s="5" t="s">
        <v>31</v>
      </c>
      <c r="C3" s="6" t="s">
        <v>32</v>
      </c>
      <c r="D3" s="7" t="s">
        <v>33</v>
      </c>
      <c r="E3" s="5" t="s">
        <v>34</v>
      </c>
      <c r="F3" s="5">
        <v>2003</v>
      </c>
      <c r="G3" s="8" t="s">
        <v>35</v>
      </c>
      <c r="H3" s="8">
        <v>3158</v>
      </c>
      <c r="I3" s="8" t="s">
        <v>36</v>
      </c>
      <c r="J3" s="8" t="s">
        <v>37</v>
      </c>
      <c r="K3" s="8" t="s">
        <v>38</v>
      </c>
      <c r="L3" s="9" t="s">
        <v>39</v>
      </c>
      <c r="M3" s="10">
        <v>1250</v>
      </c>
      <c r="N3" s="11">
        <f t="shared" si="0"/>
        <v>2</v>
      </c>
      <c r="O3" s="12">
        <f t="shared" si="1"/>
        <v>3</v>
      </c>
      <c r="P3" s="13">
        <f t="shared" si="2"/>
        <v>2</v>
      </c>
      <c r="Q3" s="4">
        <f t="shared" si="3"/>
        <v>23</v>
      </c>
      <c r="R3" s="14">
        <f t="shared" si="4"/>
        <v>54.3</v>
      </c>
      <c r="S3" s="15" t="str">
        <f t="shared" si="5"/>
        <v>Yes</v>
      </c>
      <c r="T3" s="4" t="s">
        <v>30</v>
      </c>
      <c r="U3" s="19">
        <f t="shared" si="6"/>
        <v>2.5</v>
      </c>
    </row>
    <row r="4" spans="1:21" ht="74.25" customHeight="1" x14ac:dyDescent="0.3">
      <c r="A4" s="4">
        <v>3</v>
      </c>
      <c r="B4" s="5" t="s">
        <v>40</v>
      </c>
      <c r="C4" s="6" t="s">
        <v>41</v>
      </c>
      <c r="D4" s="7" t="s">
        <v>42</v>
      </c>
      <c r="E4" s="5" t="s">
        <v>24</v>
      </c>
      <c r="F4" s="5">
        <v>2013</v>
      </c>
      <c r="G4" s="8" t="s">
        <v>25</v>
      </c>
      <c r="H4" s="8">
        <v>4544</v>
      </c>
      <c r="I4" s="8" t="s">
        <v>43</v>
      </c>
      <c r="J4" s="8" t="s">
        <v>27</v>
      </c>
      <c r="K4" s="8" t="s">
        <v>28</v>
      </c>
      <c r="L4" s="9" t="s">
        <v>44</v>
      </c>
      <c r="M4" s="10">
        <v>574.27</v>
      </c>
      <c r="N4" s="11">
        <f t="shared" si="0"/>
        <v>3</v>
      </c>
      <c r="O4" s="12">
        <f t="shared" si="1"/>
        <v>2</v>
      </c>
      <c r="P4" s="13">
        <f t="shared" si="2"/>
        <v>3</v>
      </c>
      <c r="Q4" s="4">
        <f t="shared" si="3"/>
        <v>13</v>
      </c>
      <c r="R4" s="14">
        <f t="shared" si="4"/>
        <v>44.2</v>
      </c>
      <c r="S4" s="15" t="str">
        <f t="shared" si="5"/>
        <v>Yes</v>
      </c>
      <c r="T4" s="4" t="s">
        <v>30</v>
      </c>
      <c r="U4" s="19">
        <f t="shared" si="6"/>
        <v>2.5</v>
      </c>
    </row>
    <row r="5" spans="1:21" ht="61.5" customHeight="1" x14ac:dyDescent="0.3">
      <c r="A5" s="4">
        <v>4</v>
      </c>
      <c r="B5" s="5" t="s">
        <v>45</v>
      </c>
      <c r="C5" s="6" t="s">
        <v>46</v>
      </c>
      <c r="D5" s="7" t="s">
        <v>47</v>
      </c>
      <c r="E5" s="5" t="s">
        <v>48</v>
      </c>
      <c r="F5" s="5">
        <v>2018</v>
      </c>
      <c r="G5" s="8" t="s">
        <v>49</v>
      </c>
      <c r="H5" s="8">
        <v>1588</v>
      </c>
      <c r="I5" s="8" t="s">
        <v>50</v>
      </c>
      <c r="J5" s="8" t="s">
        <v>27</v>
      </c>
      <c r="K5" s="8" t="s">
        <v>28</v>
      </c>
      <c r="L5" s="9" t="s">
        <v>51</v>
      </c>
      <c r="M5" s="10">
        <v>376.94</v>
      </c>
      <c r="N5" s="11">
        <f t="shared" si="0"/>
        <v>5</v>
      </c>
      <c r="O5" s="12">
        <f t="shared" si="1"/>
        <v>5</v>
      </c>
      <c r="P5" s="13">
        <f t="shared" si="2"/>
        <v>4</v>
      </c>
      <c r="Q5" s="4">
        <f t="shared" si="3"/>
        <v>8</v>
      </c>
      <c r="R5" s="14">
        <f t="shared" si="4"/>
        <v>47.1</v>
      </c>
      <c r="S5" s="15" t="str">
        <f t="shared" si="5"/>
        <v>Yes</v>
      </c>
      <c r="T5" s="4" t="s">
        <v>30</v>
      </c>
      <c r="U5" s="19">
        <f t="shared" si="6"/>
        <v>5</v>
      </c>
    </row>
    <row r="6" spans="1:21" ht="72" customHeight="1" x14ac:dyDescent="0.3">
      <c r="A6" s="4">
        <v>5</v>
      </c>
      <c r="B6" s="5" t="s">
        <v>52</v>
      </c>
      <c r="C6" s="6" t="s">
        <v>53</v>
      </c>
      <c r="D6" s="7" t="s">
        <v>54</v>
      </c>
      <c r="E6" s="5" t="s">
        <v>48</v>
      </c>
      <c r="F6" s="5">
        <v>2019</v>
      </c>
      <c r="G6" s="8" t="s">
        <v>49</v>
      </c>
      <c r="H6" s="8">
        <v>1155</v>
      </c>
      <c r="I6" s="8" t="s">
        <v>55</v>
      </c>
      <c r="J6" s="8" t="s">
        <v>27</v>
      </c>
      <c r="K6" s="8" t="s">
        <v>28</v>
      </c>
      <c r="L6" s="9" t="s">
        <v>56</v>
      </c>
      <c r="M6" s="10">
        <v>228.09</v>
      </c>
      <c r="N6" s="11">
        <f t="shared" si="0"/>
        <v>8</v>
      </c>
      <c r="O6" s="12">
        <f t="shared" si="1"/>
        <v>7</v>
      </c>
      <c r="P6" s="13">
        <f t="shared" si="2"/>
        <v>5</v>
      </c>
      <c r="Q6" s="4">
        <f t="shared" si="3"/>
        <v>7</v>
      </c>
      <c r="R6" s="14">
        <f t="shared" si="4"/>
        <v>32.6</v>
      </c>
      <c r="S6" s="15" t="str">
        <f t="shared" si="5"/>
        <v>Yes</v>
      </c>
      <c r="T6" s="4" t="s">
        <v>30</v>
      </c>
      <c r="U6" s="19">
        <f t="shared" si="6"/>
        <v>7.5</v>
      </c>
    </row>
    <row r="7" spans="1:21" ht="86.25" customHeight="1" x14ac:dyDescent="0.3">
      <c r="A7" s="4">
        <v>6</v>
      </c>
      <c r="B7" s="5" t="s">
        <v>57</v>
      </c>
      <c r="C7" s="6" t="s">
        <v>58</v>
      </c>
      <c r="D7" s="7" t="s">
        <v>59</v>
      </c>
      <c r="E7" s="5" t="s">
        <v>24</v>
      </c>
      <c r="F7" s="5">
        <v>2019</v>
      </c>
      <c r="G7" s="8" t="s">
        <v>49</v>
      </c>
      <c r="H7" s="8">
        <v>673</v>
      </c>
      <c r="I7" s="8" t="s">
        <v>60</v>
      </c>
      <c r="J7" s="8" t="s">
        <v>27</v>
      </c>
      <c r="K7" s="8" t="s">
        <v>28</v>
      </c>
      <c r="L7" s="9" t="s">
        <v>61</v>
      </c>
      <c r="M7" s="10">
        <v>290.5</v>
      </c>
      <c r="N7" s="11">
        <f t="shared" si="0"/>
        <v>6</v>
      </c>
      <c r="O7" s="12">
        <f t="shared" si="1"/>
        <v>12</v>
      </c>
      <c r="P7" s="13">
        <f t="shared" si="2"/>
        <v>6</v>
      </c>
      <c r="Q7" s="4">
        <f t="shared" si="3"/>
        <v>7</v>
      </c>
      <c r="R7" s="14">
        <f t="shared" si="4"/>
        <v>41.5</v>
      </c>
      <c r="S7" s="15" t="str">
        <f t="shared" si="5"/>
        <v>Yes</v>
      </c>
      <c r="T7" s="4" t="s">
        <v>30</v>
      </c>
      <c r="U7" s="19">
        <f t="shared" si="6"/>
        <v>9</v>
      </c>
    </row>
    <row r="8" spans="1:21" ht="86.25" customHeight="1" x14ac:dyDescent="0.3">
      <c r="A8" s="4">
        <v>7</v>
      </c>
      <c r="B8" s="5" t="s">
        <v>62</v>
      </c>
      <c r="C8" s="6" t="s">
        <v>63</v>
      </c>
      <c r="D8" s="7" t="s">
        <v>64</v>
      </c>
      <c r="E8" s="5" t="s">
        <v>24</v>
      </c>
      <c r="F8" s="5">
        <v>2020</v>
      </c>
      <c r="G8" s="8" t="s">
        <v>49</v>
      </c>
      <c r="H8" s="8">
        <v>1174</v>
      </c>
      <c r="I8" s="8" t="s">
        <v>65</v>
      </c>
      <c r="J8" s="8" t="s">
        <v>27</v>
      </c>
      <c r="K8" s="8" t="s">
        <v>28</v>
      </c>
      <c r="L8" s="9" t="s">
        <v>66</v>
      </c>
      <c r="M8" s="10">
        <v>188</v>
      </c>
      <c r="N8" s="11">
        <f t="shared" si="0"/>
        <v>12</v>
      </c>
      <c r="O8" s="12">
        <f t="shared" si="1"/>
        <v>6</v>
      </c>
      <c r="P8" s="13">
        <f t="shared" si="2"/>
        <v>7</v>
      </c>
      <c r="Q8" s="4">
        <f t="shared" si="3"/>
        <v>6</v>
      </c>
      <c r="R8" s="14">
        <f t="shared" si="4"/>
        <v>31.3</v>
      </c>
      <c r="S8" s="15" t="str">
        <f t="shared" si="5"/>
        <v>Yes</v>
      </c>
      <c r="T8" s="4" t="s">
        <v>30</v>
      </c>
      <c r="U8" s="19">
        <f t="shared" si="6"/>
        <v>9</v>
      </c>
    </row>
    <row r="9" spans="1:21" ht="86.25" customHeight="1" x14ac:dyDescent="0.3">
      <c r="A9" s="4">
        <v>8</v>
      </c>
      <c r="B9" s="5" t="s">
        <v>67</v>
      </c>
      <c r="C9" s="6" t="s">
        <v>68</v>
      </c>
      <c r="D9" s="7" t="s">
        <v>69</v>
      </c>
      <c r="E9" s="5" t="s">
        <v>70</v>
      </c>
      <c r="F9" s="5">
        <v>2015</v>
      </c>
      <c r="G9" s="8" t="s">
        <v>49</v>
      </c>
      <c r="H9" s="8">
        <v>2924</v>
      </c>
      <c r="I9" s="8" t="s">
        <v>71</v>
      </c>
      <c r="J9" s="8" t="s">
        <v>27</v>
      </c>
      <c r="K9" s="8" t="s">
        <v>38</v>
      </c>
      <c r="L9" s="9" t="s">
        <v>72</v>
      </c>
      <c r="M9" s="10">
        <v>113.25</v>
      </c>
      <c r="N9" s="11">
        <f t="shared" si="0"/>
        <v>14</v>
      </c>
      <c r="O9" s="12">
        <f t="shared" si="1"/>
        <v>4</v>
      </c>
      <c r="P9" s="13">
        <f t="shared" si="2"/>
        <v>8</v>
      </c>
      <c r="Q9" s="4">
        <f t="shared" si="3"/>
        <v>11</v>
      </c>
      <c r="R9" s="14">
        <f t="shared" si="4"/>
        <v>10.3</v>
      </c>
      <c r="S9" s="15" t="str">
        <f t="shared" si="5"/>
        <v>Yes</v>
      </c>
      <c r="T9" s="4" t="s">
        <v>30</v>
      </c>
      <c r="U9" s="19">
        <f t="shared" si="6"/>
        <v>9</v>
      </c>
    </row>
    <row r="10" spans="1:21" ht="86.25" customHeight="1" x14ac:dyDescent="0.3">
      <c r="A10" s="4">
        <v>9</v>
      </c>
      <c r="B10" s="5" t="s">
        <v>73</v>
      </c>
      <c r="C10" s="6" t="s">
        <v>74</v>
      </c>
      <c r="D10" s="7" t="s">
        <v>75</v>
      </c>
      <c r="E10" s="5" t="s">
        <v>24</v>
      </c>
      <c r="F10" s="5">
        <v>2014</v>
      </c>
      <c r="G10" s="8" t="s">
        <v>49</v>
      </c>
      <c r="H10" s="8">
        <v>637</v>
      </c>
      <c r="I10" s="8" t="s">
        <v>76</v>
      </c>
      <c r="J10" s="8" t="s">
        <v>27</v>
      </c>
      <c r="K10" s="8" t="s">
        <v>28</v>
      </c>
      <c r="L10" s="9" t="s">
        <v>77</v>
      </c>
      <c r="M10" s="10">
        <v>238.06</v>
      </c>
      <c r="N10" s="11">
        <f t="shared" si="0"/>
        <v>7</v>
      </c>
      <c r="O10" s="12">
        <f t="shared" si="1"/>
        <v>13</v>
      </c>
      <c r="P10" s="13">
        <f t="shared" si="2"/>
        <v>9</v>
      </c>
      <c r="Q10" s="4">
        <f t="shared" si="3"/>
        <v>12</v>
      </c>
      <c r="R10" s="14">
        <f t="shared" si="4"/>
        <v>19.8</v>
      </c>
      <c r="S10" s="15" t="str">
        <f t="shared" si="5"/>
        <v>Yes</v>
      </c>
      <c r="T10" s="4" t="s">
        <v>30</v>
      </c>
      <c r="U10" s="19">
        <f t="shared" si="6"/>
        <v>10</v>
      </c>
    </row>
    <row r="11" spans="1:21" ht="63" customHeight="1" x14ac:dyDescent="0.3">
      <c r="A11" s="4">
        <v>10</v>
      </c>
      <c r="B11" s="5" t="s">
        <v>78</v>
      </c>
      <c r="C11" s="6" t="s">
        <v>79</v>
      </c>
      <c r="D11" s="7" t="s">
        <v>80</v>
      </c>
      <c r="E11" s="5" t="s">
        <v>24</v>
      </c>
      <c r="F11" s="5">
        <v>2017</v>
      </c>
      <c r="G11" s="8" t="s">
        <v>81</v>
      </c>
      <c r="H11" s="8">
        <v>959</v>
      </c>
      <c r="I11" s="8" t="s">
        <v>82</v>
      </c>
      <c r="J11" s="8" t="s">
        <v>27</v>
      </c>
      <c r="K11" s="8" t="s">
        <v>28</v>
      </c>
      <c r="L11" s="9" t="s">
        <v>83</v>
      </c>
      <c r="M11" s="10">
        <v>135</v>
      </c>
      <c r="N11" s="11">
        <f t="shared" si="0"/>
        <v>13</v>
      </c>
      <c r="O11" s="12">
        <f t="shared" si="1"/>
        <v>9</v>
      </c>
      <c r="P11" s="13">
        <f t="shared" si="2"/>
        <v>10</v>
      </c>
      <c r="Q11" s="4">
        <f t="shared" si="3"/>
        <v>9</v>
      </c>
      <c r="R11" s="14">
        <f t="shared" si="4"/>
        <v>15</v>
      </c>
      <c r="S11" s="15" t="str">
        <f t="shared" si="5"/>
        <v>Yes</v>
      </c>
      <c r="T11" s="4" t="s">
        <v>30</v>
      </c>
      <c r="U11" s="19">
        <f t="shared" si="6"/>
        <v>11</v>
      </c>
    </row>
    <row r="12" spans="1:21" ht="72" customHeight="1" x14ac:dyDescent="0.3">
      <c r="A12" s="4">
        <v>11</v>
      </c>
      <c r="B12" s="5" t="s">
        <v>84</v>
      </c>
      <c r="C12" s="6" t="s">
        <v>85</v>
      </c>
      <c r="D12" s="7" t="s">
        <v>86</v>
      </c>
      <c r="E12" s="5" t="s">
        <v>24</v>
      </c>
      <c r="F12" s="5">
        <v>2016</v>
      </c>
      <c r="G12" s="8" t="s">
        <v>49</v>
      </c>
      <c r="H12" s="8">
        <v>586</v>
      </c>
      <c r="I12" s="8" t="s">
        <v>87</v>
      </c>
      <c r="J12" s="8" t="s">
        <v>27</v>
      </c>
      <c r="K12" s="8" t="s">
        <v>28</v>
      </c>
      <c r="L12" s="9" t="s">
        <v>88</v>
      </c>
      <c r="M12" s="10">
        <v>220.9</v>
      </c>
      <c r="N12" s="11">
        <f t="shared" si="0"/>
        <v>9</v>
      </c>
      <c r="O12" s="12">
        <f t="shared" si="1"/>
        <v>15</v>
      </c>
      <c r="P12" s="13">
        <f t="shared" si="2"/>
        <v>11</v>
      </c>
      <c r="Q12" s="4">
        <f t="shared" si="3"/>
        <v>10</v>
      </c>
      <c r="R12" s="14">
        <f t="shared" si="4"/>
        <v>22.1</v>
      </c>
      <c r="S12" s="15" t="str">
        <f t="shared" si="5"/>
        <v>Yes</v>
      </c>
      <c r="T12" s="4" t="s">
        <v>30</v>
      </c>
      <c r="U12" s="19">
        <f t="shared" si="6"/>
        <v>12</v>
      </c>
    </row>
    <row r="13" spans="1:21" ht="86.25" customHeight="1" x14ac:dyDescent="0.3">
      <c r="A13" s="4">
        <v>12</v>
      </c>
      <c r="B13" s="5" t="s">
        <v>89</v>
      </c>
      <c r="C13" s="6" t="s">
        <v>90</v>
      </c>
      <c r="D13" s="7" t="s">
        <v>91</v>
      </c>
      <c r="E13" s="5" t="s">
        <v>92</v>
      </c>
      <c r="F13" s="5">
        <v>2023</v>
      </c>
      <c r="G13" s="8" t="s">
        <v>93</v>
      </c>
      <c r="H13" s="8">
        <v>901</v>
      </c>
      <c r="I13" s="8" t="s">
        <v>94</v>
      </c>
      <c r="J13" s="8" t="s">
        <v>95</v>
      </c>
      <c r="K13" s="8" t="s">
        <v>96</v>
      </c>
      <c r="L13" s="9" t="s">
        <v>97</v>
      </c>
      <c r="M13" s="10">
        <v>113.14</v>
      </c>
      <c r="N13" s="11">
        <f t="shared" si="0"/>
        <v>15</v>
      </c>
      <c r="O13" s="12">
        <f t="shared" si="1"/>
        <v>10</v>
      </c>
      <c r="P13" s="13">
        <f t="shared" si="2"/>
        <v>12</v>
      </c>
      <c r="Q13" s="4">
        <f t="shared" si="3"/>
        <v>3</v>
      </c>
      <c r="R13" s="14">
        <f t="shared" si="4"/>
        <v>37.700000000000003</v>
      </c>
      <c r="S13" s="15" t="str">
        <f t="shared" si="5"/>
        <v>Yes</v>
      </c>
      <c r="T13" s="4" t="s">
        <v>30</v>
      </c>
      <c r="U13" s="19">
        <f t="shared" si="6"/>
        <v>12.5</v>
      </c>
    </row>
    <row r="14" spans="1:21" ht="86.25" customHeight="1" x14ac:dyDescent="0.3">
      <c r="A14" s="4">
        <v>13</v>
      </c>
      <c r="B14" s="5" t="s">
        <v>98</v>
      </c>
      <c r="C14" s="6" t="s">
        <v>99</v>
      </c>
      <c r="D14" s="7" t="s">
        <v>100</v>
      </c>
      <c r="E14" s="5" t="s">
        <v>101</v>
      </c>
      <c r="F14" s="5">
        <v>2022</v>
      </c>
      <c r="G14" s="8" t="s">
        <v>102</v>
      </c>
      <c r="H14" s="8">
        <v>1113</v>
      </c>
      <c r="I14" s="8" t="s">
        <v>103</v>
      </c>
      <c r="J14" s="8" t="s">
        <v>27</v>
      </c>
      <c r="K14" s="8" t="s">
        <v>28</v>
      </c>
      <c r="L14" s="9" t="s">
        <v>104</v>
      </c>
      <c r="M14" s="10">
        <v>103.94</v>
      </c>
      <c r="N14" s="11">
        <f t="shared" si="0"/>
        <v>17</v>
      </c>
      <c r="O14" s="12">
        <f t="shared" si="1"/>
        <v>8</v>
      </c>
      <c r="P14" s="13">
        <f t="shared" si="2"/>
        <v>13</v>
      </c>
      <c r="Q14" s="4">
        <f t="shared" si="3"/>
        <v>4</v>
      </c>
      <c r="R14" s="14">
        <f t="shared" si="4"/>
        <v>26</v>
      </c>
      <c r="S14" s="15" t="str">
        <f t="shared" si="5"/>
        <v>Yes</v>
      </c>
      <c r="T14" s="4" t="s">
        <v>30</v>
      </c>
      <c r="U14" s="19">
        <f t="shared" si="6"/>
        <v>12.5</v>
      </c>
    </row>
    <row r="15" spans="1:21" ht="72.75" customHeight="1" x14ac:dyDescent="0.3">
      <c r="A15" s="4">
        <v>14</v>
      </c>
      <c r="B15" s="5" t="s">
        <v>105</v>
      </c>
      <c r="C15" s="6" t="s">
        <v>106</v>
      </c>
      <c r="D15" s="7" t="s">
        <v>107</v>
      </c>
      <c r="E15" s="5" t="s">
        <v>70</v>
      </c>
      <c r="F15" s="5">
        <v>2022</v>
      </c>
      <c r="G15" s="8" t="s">
        <v>108</v>
      </c>
      <c r="H15" s="8">
        <v>50</v>
      </c>
      <c r="I15" s="8" t="s">
        <v>109</v>
      </c>
      <c r="J15" s="8" t="s">
        <v>95</v>
      </c>
      <c r="K15" s="8" t="s">
        <v>28</v>
      </c>
      <c r="L15" s="9" t="s">
        <v>110</v>
      </c>
      <c r="M15" s="10">
        <v>463.86</v>
      </c>
      <c r="N15" s="11">
        <f t="shared" si="0"/>
        <v>4</v>
      </c>
      <c r="O15" s="12">
        <f t="shared" si="1"/>
        <v>22</v>
      </c>
      <c r="P15" s="13">
        <f t="shared" si="2"/>
        <v>14</v>
      </c>
      <c r="Q15" s="4">
        <f t="shared" si="3"/>
        <v>4</v>
      </c>
      <c r="R15" s="14">
        <f t="shared" si="4"/>
        <v>116</v>
      </c>
      <c r="S15" s="15" t="str">
        <f t="shared" si="5"/>
        <v>Yes</v>
      </c>
      <c r="T15" s="4" t="s">
        <v>30</v>
      </c>
      <c r="U15" s="19">
        <f t="shared" si="6"/>
        <v>13</v>
      </c>
    </row>
    <row r="16" spans="1:21" ht="72" customHeight="1" x14ac:dyDescent="0.3">
      <c r="A16" s="4">
        <v>15</v>
      </c>
      <c r="B16" s="5" t="s">
        <v>111</v>
      </c>
      <c r="C16" s="6" t="s">
        <v>112</v>
      </c>
      <c r="D16" s="7" t="s">
        <v>113</v>
      </c>
      <c r="E16" s="5" t="s">
        <v>114</v>
      </c>
      <c r="F16" s="5">
        <v>2019</v>
      </c>
      <c r="G16" s="8" t="s">
        <v>49</v>
      </c>
      <c r="H16" s="8">
        <v>754</v>
      </c>
      <c r="I16" s="8" t="s">
        <v>115</v>
      </c>
      <c r="J16" s="8" t="s">
        <v>27</v>
      </c>
      <c r="K16" s="8" t="s">
        <v>28</v>
      </c>
      <c r="L16" s="9" t="s">
        <v>116</v>
      </c>
      <c r="M16" s="10">
        <v>88</v>
      </c>
      <c r="N16" s="11">
        <f t="shared" si="0"/>
        <v>18</v>
      </c>
      <c r="O16" s="12">
        <f t="shared" si="1"/>
        <v>11</v>
      </c>
      <c r="P16" s="13">
        <f t="shared" si="2"/>
        <v>15</v>
      </c>
      <c r="Q16" s="4">
        <f t="shared" si="3"/>
        <v>7</v>
      </c>
      <c r="R16" s="14">
        <f t="shared" si="4"/>
        <v>12.6</v>
      </c>
      <c r="S16" s="15" t="str">
        <f t="shared" si="5"/>
        <v>Yes</v>
      </c>
      <c r="T16" s="4" t="s">
        <v>30</v>
      </c>
      <c r="U16" s="19">
        <f t="shared" si="6"/>
        <v>14.5</v>
      </c>
    </row>
    <row r="17" spans="1:21" ht="96" customHeight="1" x14ac:dyDescent="0.3">
      <c r="A17" s="4">
        <v>16</v>
      </c>
      <c r="B17" s="5" t="s">
        <v>117</v>
      </c>
      <c r="C17" s="6" t="s">
        <v>118</v>
      </c>
      <c r="D17" s="7" t="s">
        <v>119</v>
      </c>
      <c r="E17" s="5" t="s">
        <v>101</v>
      </c>
      <c r="F17" s="5">
        <v>2010</v>
      </c>
      <c r="G17" s="8" t="s">
        <v>49</v>
      </c>
      <c r="H17" s="8">
        <v>620</v>
      </c>
      <c r="I17" s="8" t="s">
        <v>120</v>
      </c>
      <c r="J17" s="8" t="s">
        <v>27</v>
      </c>
      <c r="K17" s="8" t="s">
        <v>38</v>
      </c>
      <c r="L17" s="9" t="s">
        <v>121</v>
      </c>
      <c r="M17" s="10">
        <v>107.4</v>
      </c>
      <c r="N17" s="11">
        <f t="shared" si="0"/>
        <v>16</v>
      </c>
      <c r="O17" s="12">
        <f t="shared" si="1"/>
        <v>14</v>
      </c>
      <c r="P17" s="13">
        <f t="shared" si="2"/>
        <v>16</v>
      </c>
      <c r="Q17" s="4">
        <f t="shared" si="3"/>
        <v>16</v>
      </c>
      <c r="R17" s="14">
        <f t="shared" si="4"/>
        <v>6.7</v>
      </c>
      <c r="S17" s="15" t="str">
        <f t="shared" si="5"/>
        <v>Yes</v>
      </c>
      <c r="T17" s="4" t="s">
        <v>30</v>
      </c>
      <c r="U17" s="19">
        <f t="shared" si="6"/>
        <v>15</v>
      </c>
    </row>
    <row r="18" spans="1:21" ht="72" customHeight="1" x14ac:dyDescent="0.3">
      <c r="A18" s="4">
        <v>17</v>
      </c>
      <c r="B18" s="5" t="s">
        <v>122</v>
      </c>
      <c r="C18" s="6" t="s">
        <v>123</v>
      </c>
      <c r="D18" s="7" t="s">
        <v>124</v>
      </c>
      <c r="E18" s="5" t="s">
        <v>125</v>
      </c>
      <c r="F18" s="5">
        <v>2014</v>
      </c>
      <c r="G18" s="8" t="s">
        <v>126</v>
      </c>
      <c r="H18" s="8">
        <v>84</v>
      </c>
      <c r="I18" s="8" t="s">
        <v>127</v>
      </c>
      <c r="J18" s="8" t="s">
        <v>128</v>
      </c>
      <c r="K18" s="8" t="s">
        <v>28</v>
      </c>
      <c r="L18" s="9" t="s">
        <v>129</v>
      </c>
      <c r="M18" s="10">
        <v>200</v>
      </c>
      <c r="N18" s="11">
        <f t="shared" si="0"/>
        <v>10</v>
      </c>
      <c r="O18" s="12">
        <f t="shared" si="1"/>
        <v>21</v>
      </c>
      <c r="P18" s="13">
        <f t="shared" si="2"/>
        <v>17</v>
      </c>
      <c r="Q18" s="4">
        <f t="shared" si="3"/>
        <v>12</v>
      </c>
      <c r="R18" s="14">
        <f t="shared" si="4"/>
        <v>16.7</v>
      </c>
      <c r="S18" s="15" t="str">
        <f t="shared" si="5"/>
        <v>Yes</v>
      </c>
      <c r="T18" s="4" t="s">
        <v>30</v>
      </c>
      <c r="U18" s="19">
        <f t="shared" si="6"/>
        <v>15.5</v>
      </c>
    </row>
    <row r="19" spans="1:21" ht="72" customHeight="1" x14ac:dyDescent="0.3">
      <c r="A19" s="4">
        <v>18</v>
      </c>
      <c r="B19" s="5" t="s">
        <v>130</v>
      </c>
      <c r="C19" s="6" t="s">
        <v>131</v>
      </c>
      <c r="D19" s="7" t="s">
        <v>132</v>
      </c>
      <c r="E19" s="5" t="s">
        <v>133</v>
      </c>
      <c r="F19" s="5">
        <v>2009</v>
      </c>
      <c r="G19" s="8" t="s">
        <v>134</v>
      </c>
      <c r="H19" s="8">
        <v>188</v>
      </c>
      <c r="I19" s="8" t="s">
        <v>135</v>
      </c>
      <c r="J19" s="8" t="s">
        <v>27</v>
      </c>
      <c r="K19" s="8" t="s">
        <v>136</v>
      </c>
      <c r="L19" s="9" t="s">
        <v>137</v>
      </c>
      <c r="M19" s="10">
        <v>190.61</v>
      </c>
      <c r="N19" s="11">
        <f t="shared" si="0"/>
        <v>11</v>
      </c>
      <c r="O19" s="12">
        <f t="shared" si="1"/>
        <v>20</v>
      </c>
      <c r="P19" s="13">
        <f t="shared" si="2"/>
        <v>18</v>
      </c>
      <c r="Q19" s="4">
        <f t="shared" si="3"/>
        <v>17</v>
      </c>
      <c r="R19" s="14">
        <f t="shared" si="4"/>
        <v>11.2</v>
      </c>
      <c r="S19" s="15" t="str">
        <f t="shared" si="5"/>
        <v>Yes</v>
      </c>
      <c r="T19" s="4" t="s">
        <v>30</v>
      </c>
      <c r="U19" s="19">
        <f t="shared" si="6"/>
        <v>15.5</v>
      </c>
    </row>
    <row r="20" spans="1:21" ht="57" customHeight="1" x14ac:dyDescent="0.3">
      <c r="A20" s="4">
        <v>19</v>
      </c>
      <c r="B20" s="5" t="s">
        <v>138</v>
      </c>
      <c r="C20" s="6" t="s">
        <v>139</v>
      </c>
      <c r="D20" s="7" t="s">
        <v>140</v>
      </c>
      <c r="E20" s="5" t="s">
        <v>48</v>
      </c>
      <c r="F20" s="5">
        <v>2016</v>
      </c>
      <c r="G20" s="8" t="s">
        <v>49</v>
      </c>
      <c r="H20" s="8">
        <v>427</v>
      </c>
      <c r="I20" s="8" t="s">
        <v>141</v>
      </c>
      <c r="J20" s="8" t="s">
        <v>27</v>
      </c>
      <c r="K20" s="8" t="s">
        <v>136</v>
      </c>
      <c r="L20" s="9" t="s">
        <v>142</v>
      </c>
      <c r="M20" s="10">
        <v>65.7</v>
      </c>
      <c r="N20" s="11">
        <f t="shared" si="0"/>
        <v>20</v>
      </c>
      <c r="O20" s="12">
        <f t="shared" si="1"/>
        <v>17</v>
      </c>
      <c r="P20" s="13">
        <f t="shared" si="2"/>
        <v>19</v>
      </c>
      <c r="Q20" s="4">
        <f t="shared" si="3"/>
        <v>10</v>
      </c>
      <c r="R20" s="14">
        <f t="shared" si="4"/>
        <v>6.6</v>
      </c>
      <c r="S20" s="15" t="str">
        <f t="shared" si="5"/>
        <v>Yes</v>
      </c>
      <c r="T20" s="4" t="s">
        <v>30</v>
      </c>
      <c r="U20" s="19">
        <f t="shared" si="6"/>
        <v>18.5</v>
      </c>
    </row>
    <row r="21" spans="1:21" ht="57" customHeight="1" x14ac:dyDescent="0.3">
      <c r="A21" s="4">
        <v>20</v>
      </c>
      <c r="B21" s="5" t="s">
        <v>143</v>
      </c>
      <c r="C21" s="6" t="s">
        <v>144</v>
      </c>
      <c r="D21" s="7" t="s">
        <v>145</v>
      </c>
      <c r="E21" s="5" t="s">
        <v>146</v>
      </c>
      <c r="F21" s="5">
        <v>2018</v>
      </c>
      <c r="G21" s="8" t="s">
        <v>49</v>
      </c>
      <c r="H21" s="8">
        <v>213</v>
      </c>
      <c r="I21" s="8" t="s">
        <v>147</v>
      </c>
      <c r="J21" s="8" t="s">
        <v>27</v>
      </c>
      <c r="K21" s="8" t="s">
        <v>28</v>
      </c>
      <c r="L21" s="9" t="s">
        <v>148</v>
      </c>
      <c r="M21" s="10">
        <v>86.11</v>
      </c>
      <c r="N21" s="11">
        <f t="shared" si="0"/>
        <v>19</v>
      </c>
      <c r="O21" s="12">
        <f t="shared" si="1"/>
        <v>19</v>
      </c>
      <c r="P21" s="13">
        <f t="shared" si="2"/>
        <v>20</v>
      </c>
      <c r="Q21" s="4">
        <f t="shared" si="3"/>
        <v>8</v>
      </c>
      <c r="R21" s="14">
        <f t="shared" si="4"/>
        <v>10.8</v>
      </c>
      <c r="S21" s="15" t="str">
        <f t="shared" si="5"/>
        <v>Yes</v>
      </c>
      <c r="T21" s="4" t="s">
        <v>30</v>
      </c>
      <c r="U21" s="19">
        <f t="shared" si="6"/>
        <v>19</v>
      </c>
    </row>
    <row r="22" spans="1:21" ht="72" customHeight="1" x14ac:dyDescent="0.3">
      <c r="A22" s="4">
        <v>21</v>
      </c>
      <c r="B22" s="5" t="s">
        <v>149</v>
      </c>
      <c r="C22" s="6" t="s">
        <v>150</v>
      </c>
      <c r="D22" s="7" t="s">
        <v>151</v>
      </c>
      <c r="E22" s="5" t="s">
        <v>125</v>
      </c>
      <c r="F22" s="5">
        <v>2017</v>
      </c>
      <c r="G22" s="8" t="s">
        <v>49</v>
      </c>
      <c r="H22" s="8">
        <v>464</v>
      </c>
      <c r="I22" s="8" t="s">
        <v>152</v>
      </c>
      <c r="J22" s="8" t="s">
        <v>27</v>
      </c>
      <c r="K22" s="8" t="s">
        <v>153</v>
      </c>
      <c r="L22" s="9" t="s">
        <v>154</v>
      </c>
      <c r="M22" s="10">
        <v>60.19</v>
      </c>
      <c r="N22" s="11">
        <f t="shared" si="0"/>
        <v>22</v>
      </c>
      <c r="O22" s="12">
        <f t="shared" si="1"/>
        <v>16</v>
      </c>
      <c r="P22" s="13">
        <f t="shared" si="2"/>
        <v>21</v>
      </c>
      <c r="Q22" s="4">
        <f t="shared" si="3"/>
        <v>9</v>
      </c>
      <c r="R22" s="14">
        <f t="shared" si="4"/>
        <v>6.7</v>
      </c>
      <c r="S22" s="15" t="str">
        <f t="shared" si="5"/>
        <v>No (rank 21)</v>
      </c>
      <c r="T22" s="4" t="s">
        <v>30</v>
      </c>
      <c r="U22" s="19">
        <f t="shared" si="6"/>
        <v>19</v>
      </c>
    </row>
    <row r="23" spans="1:21" ht="72" customHeight="1" x14ac:dyDescent="0.3">
      <c r="A23" s="4">
        <v>22</v>
      </c>
      <c r="B23" s="5" t="s">
        <v>155</v>
      </c>
      <c r="C23" s="6" t="s">
        <v>156</v>
      </c>
      <c r="D23" s="7" t="s">
        <v>157</v>
      </c>
      <c r="E23" s="5" t="s">
        <v>24</v>
      </c>
      <c r="F23" s="5">
        <v>2020</v>
      </c>
      <c r="G23" s="8" t="s">
        <v>49</v>
      </c>
      <c r="H23" s="8">
        <v>334</v>
      </c>
      <c r="I23" s="8" t="s">
        <v>158</v>
      </c>
      <c r="J23" s="8" t="s">
        <v>27</v>
      </c>
      <c r="K23" s="8" t="s">
        <v>28</v>
      </c>
      <c r="L23" s="9" t="s">
        <v>159</v>
      </c>
      <c r="M23" s="10">
        <v>65.41</v>
      </c>
      <c r="N23" s="11">
        <f t="shared" si="0"/>
        <v>21</v>
      </c>
      <c r="O23" s="12">
        <f t="shared" si="1"/>
        <v>18</v>
      </c>
      <c r="P23" s="13">
        <f t="shared" si="2"/>
        <v>22</v>
      </c>
      <c r="Q23" s="4">
        <f t="shared" si="3"/>
        <v>6</v>
      </c>
      <c r="R23" s="14">
        <f t="shared" si="4"/>
        <v>10.9</v>
      </c>
      <c r="S23" s="15" t="str">
        <f t="shared" si="5"/>
        <v>No (rank 22)</v>
      </c>
      <c r="T23" s="4" t="s">
        <v>30</v>
      </c>
      <c r="U23" s="19">
        <f t="shared" si="6"/>
        <v>19.5</v>
      </c>
    </row>
    <row r="24" spans="1:21" ht="51.75" customHeight="1" x14ac:dyDescent="0.3">
      <c r="A24" s="4">
        <v>23</v>
      </c>
      <c r="B24" s="5" t="s">
        <v>160</v>
      </c>
      <c r="C24" s="6" t="s">
        <v>161</v>
      </c>
      <c r="D24" s="7" t="s">
        <v>162</v>
      </c>
      <c r="E24" s="5" t="s">
        <v>34</v>
      </c>
      <c r="F24" s="5">
        <v>2011</v>
      </c>
      <c r="G24" s="8" t="s">
        <v>35</v>
      </c>
      <c r="H24" s="8">
        <v>5347</v>
      </c>
      <c r="I24" s="8" t="s">
        <v>163</v>
      </c>
      <c r="J24" s="8" t="s">
        <v>164</v>
      </c>
      <c r="K24" s="8" t="s">
        <v>38</v>
      </c>
      <c r="L24" s="9" t="s">
        <v>165</v>
      </c>
      <c r="M24" s="10">
        <v>4380</v>
      </c>
      <c r="N24" s="11" t="str">
        <f t="shared" si="0"/>
        <v/>
      </c>
      <c r="O24" s="12" t="str">
        <f t="shared" si="1"/>
        <v>n/a</v>
      </c>
      <c r="P24" s="13" t="str">
        <f t="shared" si="2"/>
        <v/>
      </c>
      <c r="Q24" s="4">
        <f t="shared" si="3"/>
        <v>15</v>
      </c>
      <c r="R24" s="14">
        <f t="shared" si="4"/>
        <v>292</v>
      </c>
      <c r="S24" s="15" t="str">
        <f>IF(T24="Yes",IF(P24&lt;=20,"Yes","No (rank "&amp;P24&amp;")"),"No: excluded, large listed power producer; funding mostly debt")</f>
        <v>No: excluded, large listed power producer; funding mostly debt</v>
      </c>
      <c r="T24" s="4" t="s">
        <v>166</v>
      </c>
      <c r="U24" s="16" t="str">
        <f t="shared" si="6"/>
        <v/>
      </c>
    </row>
    <row r="25" spans="1:21" ht="86.25" customHeight="1" x14ac:dyDescent="0.3">
      <c r="A25" s="4">
        <v>24</v>
      </c>
      <c r="B25" s="5" t="s">
        <v>167</v>
      </c>
      <c r="C25" s="6" t="s">
        <v>168</v>
      </c>
      <c r="D25" s="7" t="s">
        <v>169</v>
      </c>
      <c r="E25" s="5" t="s">
        <v>170</v>
      </c>
      <c r="F25" s="5">
        <v>2007</v>
      </c>
      <c r="G25" s="8" t="s">
        <v>171</v>
      </c>
      <c r="H25" s="8">
        <v>161</v>
      </c>
      <c r="I25" s="8" t="s">
        <v>172</v>
      </c>
      <c r="J25" s="8" t="s">
        <v>173</v>
      </c>
      <c r="K25" s="8" t="s">
        <v>38</v>
      </c>
      <c r="L25" s="9" t="s">
        <v>174</v>
      </c>
      <c r="M25" s="10">
        <v>76.8</v>
      </c>
      <c r="N25" s="11" t="str">
        <f t="shared" si="0"/>
        <v/>
      </c>
      <c r="O25" s="12" t="str">
        <f t="shared" si="1"/>
        <v>n/a</v>
      </c>
      <c r="P25" s="13" t="str">
        <f t="shared" si="2"/>
        <v/>
      </c>
      <c r="Q25" s="4">
        <f t="shared" si="3"/>
        <v>19</v>
      </c>
      <c r="R25" s="14">
        <f t="shared" si="4"/>
        <v>4</v>
      </c>
      <c r="S25" s="15" t="str">
        <f>IF(T25="Yes",IF(P25&lt;=20,"Yes","No (rank "&amp;P25&amp;")"),"No: excluded, listed company, tagged as investor")</f>
        <v>No: excluded, listed company, tagged as investor</v>
      </c>
      <c r="T25" s="4" t="s">
        <v>166</v>
      </c>
      <c r="U25" s="16" t="str">
        <f t="shared" si="6"/>
        <v/>
      </c>
    </row>
    <row r="26" spans="1:21" ht="72" customHeight="1" x14ac:dyDescent="0.3"/>
    <row r="27" spans="1:21" ht="100.5" customHeight="1" x14ac:dyDescent="0.3"/>
    <row r="28" spans="1:21" ht="86.25" customHeight="1" x14ac:dyDescent="0.3"/>
    <row r="29" spans="1:21" ht="57" customHeight="1" x14ac:dyDescent="0.3"/>
    <row r="30" spans="1:21" ht="57" customHeight="1" x14ac:dyDescent="0.3"/>
    <row r="31" spans="1:21" ht="72" customHeigh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zoomScaleNormal="100" workbookViewId="0"/>
  </sheetViews>
  <sheetFormatPr defaultColWidth="8.6640625" defaultRowHeight="14.4" x14ac:dyDescent="0.3"/>
  <cols>
    <col min="1" max="1" width="150" customWidth="1"/>
  </cols>
  <sheetData>
    <row r="1" spans="1:1" x14ac:dyDescent="0.3">
      <c r="A1" s="17" t="s">
        <v>175</v>
      </c>
    </row>
    <row r="2" spans="1:1" x14ac:dyDescent="0.3">
      <c r="A2" s="17" t="s">
        <v>176</v>
      </c>
    </row>
    <row r="3" spans="1:1" x14ac:dyDescent="0.3">
      <c r="A3" s="17" t="s">
        <v>177</v>
      </c>
    </row>
    <row r="4" spans="1:1" x14ac:dyDescent="0.3">
      <c r="A4" s="17" t="s">
        <v>178</v>
      </c>
    </row>
    <row r="5" spans="1:1" x14ac:dyDescent="0.3">
      <c r="A5" s="17" t="s">
        <v>179</v>
      </c>
    </row>
    <row r="6" spans="1:1" x14ac:dyDescent="0.3">
      <c r="A6" s="17" t="s">
        <v>180</v>
      </c>
    </row>
    <row r="8" spans="1:1" x14ac:dyDescent="0.3">
      <c r="A8" s="17" t="s">
        <v>181</v>
      </c>
    </row>
    <row r="9" spans="1:1" x14ac:dyDescent="0.3">
      <c r="A9" s="17" t="s">
        <v>182</v>
      </c>
    </row>
    <row r="10" spans="1:1" x14ac:dyDescent="0.3">
      <c r="A10" s="17" t="s">
        <v>183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Glenisha Dsouza</dc:creator>
  <dc:description/>
  <cp:lastModifiedBy>Glenisha Dsouza</cp:lastModifiedBy>
  <cp:revision>0</cp:revision>
  <dcterms:created xsi:type="dcterms:W3CDTF">2026-10-13T15:18:46Z</dcterms:created>
  <dcterms:modified xsi:type="dcterms:W3CDTF">2026-10-19T04:07:20Z</dcterms:modified>
  <dc:language>en-US</dc:language>
</cp:coreProperties>
</file>