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Q1_Incubators_Startups\"/>
    </mc:Choice>
  </mc:AlternateContent>
  <xr:revisionPtr revIDLastSave="0" documentId="13_ncr:1_{9C3F3299-2E69-4DC3-9FD7-25A71B141A18}" xr6:coauthVersionLast="47" xr6:coauthVersionMax="47" xr10:uidLastSave="{00000000-0000-0000-0000-000000000000}"/>
  <bookViews>
    <workbookView xWindow="-108" yWindow="-108" windowWidth="23256" windowHeight="12456" tabRatio="500" xr2:uid="{00000000-000D-0000-FFFF-FFFF00000000}"/>
  </bookViews>
  <sheets>
    <sheet name="Top 20 Ranking" sheetId="1" r:id="rId1"/>
    <sheet name="All Candidates (32)" sheetId="2" r:id="rId2"/>
    <sheet name="Method" sheetId="3" r:id="rId3"/>
  </sheets>
  <definedNames>
    <definedName name="_xlnm._FilterDatabase" localSheetId="1" hidden="1">'All Candidates (32)'!$A$1:$E$33</definedName>
    <definedName name="_xlnm._FilterDatabase" localSheetId="0" hidden="1">'Top 20 Ranking'!$A$1:$R$25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3" i="2" l="1"/>
  <c r="E31" i="2"/>
  <c r="E30" i="2"/>
  <c r="E24" i="2"/>
  <c r="E21" i="2"/>
  <c r="E19" i="2"/>
  <c r="E18" i="2"/>
  <c r="E16" i="2"/>
  <c r="K25" i="1"/>
  <c r="J25" i="1"/>
  <c r="L25" i="1" s="1"/>
  <c r="K24" i="1"/>
  <c r="J24" i="1"/>
  <c r="L24" i="1" s="1"/>
  <c r="K23" i="1"/>
  <c r="J23" i="1"/>
  <c r="L23" i="1" s="1"/>
  <c r="K22" i="1"/>
  <c r="J22" i="1"/>
  <c r="L22" i="1" s="1"/>
  <c r="K21" i="1"/>
  <c r="M21" i="1" s="1"/>
  <c r="J21" i="1"/>
  <c r="L21" i="1" s="1"/>
  <c r="K20" i="1"/>
  <c r="M20" i="1" s="1"/>
  <c r="J20" i="1"/>
  <c r="L20" i="1" s="1"/>
  <c r="K19" i="1"/>
  <c r="J19" i="1"/>
  <c r="L19" i="1" s="1"/>
  <c r="K18" i="1"/>
  <c r="J18" i="1"/>
  <c r="L18" i="1" s="1"/>
  <c r="K17" i="1"/>
  <c r="J17" i="1"/>
  <c r="L17" i="1" s="1"/>
  <c r="K16" i="1"/>
  <c r="J16" i="1"/>
  <c r="L16" i="1" s="1"/>
  <c r="K15" i="1"/>
  <c r="J15" i="1"/>
  <c r="L15" i="1" s="1"/>
  <c r="K14" i="1"/>
  <c r="J14" i="1"/>
  <c r="L14" i="1" s="1"/>
  <c r="K13" i="1"/>
  <c r="J13" i="1"/>
  <c r="L13" i="1" s="1"/>
  <c r="K12" i="1"/>
  <c r="J12" i="1"/>
  <c r="L12" i="1" s="1"/>
  <c r="K11" i="1"/>
  <c r="J11" i="1"/>
  <c r="L11" i="1" s="1"/>
  <c r="K10" i="1"/>
  <c r="J10" i="1"/>
  <c r="L10" i="1" s="1"/>
  <c r="K9" i="1"/>
  <c r="J9" i="1"/>
  <c r="L9" i="1" s="1"/>
  <c r="K8" i="1"/>
  <c r="J8" i="1"/>
  <c r="L8" i="1" s="1"/>
  <c r="K7" i="1"/>
  <c r="J7" i="1"/>
  <c r="L7" i="1" s="1"/>
  <c r="K6" i="1"/>
  <c r="M6" i="1" s="1"/>
  <c r="J6" i="1"/>
  <c r="L6" i="1" s="1"/>
  <c r="K5" i="1"/>
  <c r="J5" i="1"/>
  <c r="L5" i="1" s="1"/>
  <c r="K4" i="1"/>
  <c r="J4" i="1"/>
  <c r="L4" i="1" s="1"/>
  <c r="K3" i="1"/>
  <c r="J3" i="1"/>
  <c r="L3" i="1" s="1"/>
  <c r="K2" i="1"/>
  <c r="J2" i="1"/>
  <c r="L2" i="1" s="1"/>
  <c r="M12" i="1" l="1"/>
  <c r="M7" i="1"/>
  <c r="M25" i="1"/>
  <c r="M14" i="1"/>
  <c r="M15" i="1"/>
  <c r="A15" i="1" s="1"/>
  <c r="M4" i="1"/>
  <c r="A4" i="1" s="1"/>
  <c r="M10" i="1"/>
  <c r="A10" i="1" s="1"/>
  <c r="M16" i="1"/>
  <c r="A16" i="1" s="1"/>
  <c r="M22" i="1"/>
  <c r="A22" i="1" s="1"/>
  <c r="M24" i="1"/>
  <c r="M19" i="1"/>
  <c r="M8" i="1"/>
  <c r="M9" i="1"/>
  <c r="M18" i="1"/>
  <c r="M13" i="1"/>
  <c r="M2" i="1"/>
  <c r="A21" i="1" s="1"/>
  <c r="M3" i="1"/>
  <c r="A3" i="1" s="1"/>
  <c r="M5" i="1"/>
  <c r="A5" i="1" s="1"/>
  <c r="M11" i="1"/>
  <c r="A11" i="1" s="1"/>
  <c r="M17" i="1"/>
  <c r="A17" i="1" s="1"/>
  <c r="M23" i="1"/>
  <c r="A23" i="1" s="1"/>
  <c r="E25" i="2" l="1"/>
  <c r="N21" i="1"/>
  <c r="N16" i="1"/>
  <c r="E10" i="2"/>
  <c r="N10" i="1"/>
  <c r="E23" i="2"/>
  <c r="E3" i="2"/>
  <c r="N3" i="1"/>
  <c r="E9" i="2"/>
  <c r="N15" i="1"/>
  <c r="N4" i="1"/>
  <c r="E2" i="2"/>
  <c r="E17" i="2"/>
  <c r="N17" i="1"/>
  <c r="A14" i="1"/>
  <c r="A7" i="1"/>
  <c r="E8" i="2"/>
  <c r="N22" i="1"/>
  <c r="A12" i="1"/>
  <c r="E27" i="2"/>
  <c r="N5" i="1"/>
  <c r="A13" i="1"/>
  <c r="A8" i="1"/>
  <c r="E20" i="2"/>
  <c r="N23" i="1"/>
  <c r="A2" i="1"/>
  <c r="A18" i="1"/>
  <c r="A19" i="1"/>
  <c r="A20" i="1"/>
  <c r="E29" i="2"/>
  <c r="N11" i="1"/>
  <c r="A25" i="1"/>
  <c r="A9" i="1"/>
  <c r="A24" i="1"/>
  <c r="A6" i="1"/>
  <c r="E26" i="2" l="1"/>
  <c r="N13" i="1"/>
  <c r="N6" i="1"/>
  <c r="E4" i="2"/>
  <c r="N8" i="1"/>
  <c r="E11" i="2"/>
  <c r="N24" i="1"/>
  <c r="E28" i="2"/>
  <c r="N20" i="1"/>
  <c r="E14" i="2"/>
  <c r="N9" i="1"/>
  <c r="E12" i="2"/>
  <c r="E5" i="2"/>
  <c r="N7" i="1"/>
  <c r="N14" i="1"/>
  <c r="E13" i="2"/>
  <c r="E32" i="2"/>
  <c r="N25" i="1"/>
  <c r="E7" i="2"/>
  <c r="N19" i="1"/>
  <c r="N18" i="1"/>
  <c r="E15" i="2"/>
  <c r="N2" i="1"/>
  <c r="E6" i="2"/>
  <c r="N12" i="1"/>
  <c r="E22" i="2"/>
</calcChain>
</file>

<file path=xl/sharedStrings.xml><?xml version="1.0" encoding="utf-8"?>
<sst xmlns="http://schemas.openxmlformats.org/spreadsheetml/2006/main" count="405" uniqueCount="262">
  <si>
    <t>Final Rank</t>
  </si>
  <si>
    <t>Name</t>
  </si>
  <si>
    <t>City</t>
  </si>
  <si>
    <t>Year Founded</t>
  </si>
  <si>
    <t>Type</t>
  </si>
  <si>
    <t>Website URL</t>
  </si>
  <si>
    <t>Startups supported (as reported)</t>
  </si>
  <si>
    <t>Startups figure used (cumulative)</t>
  </si>
  <si>
    <t>Years operating</t>
  </si>
  <si>
    <t>Startups per year</t>
  </si>
  <si>
    <t>Rank – Method 1 (cumulative scale)</t>
  </si>
  <si>
    <t>Rank – Method 2 (annual throughput)</t>
  </si>
  <si>
    <t>Average of the two ranks</t>
  </si>
  <si>
    <t>In Top 20?</t>
  </si>
  <si>
    <t>Funding (as reported)</t>
  </si>
  <si>
    <t>Description</t>
  </si>
  <si>
    <t>Data note</t>
  </si>
  <si>
    <t>Source</t>
  </si>
  <si>
    <t>Kerala Startup Mission (KSUM)</t>
  </si>
  <si>
    <t>Thiruvananthapuram</t>
  </si>
  <si>
    <t>2006</t>
  </si>
  <si>
    <t>Government agency</t>
  </si>
  <si>
    <t>https://startupmission.kerala.gov.in/</t>
  </si>
  <si>
    <t>8,000+ registered startups supported as of 2025 (directory listing).</t>
  </si>
  <si>
    <t>Over $665 million facilitated (same listing). KSUM’s own equity investments crossed $12.1 million.</t>
  </si>
  <si>
    <t>Nodal Agency for Entrepreneurship &amp; Incubation of the Government of Kerala – Technology Start-up Policy of the State.</t>
  </si>
  <si>
    <t>Years operating corrected to 20 (founded 2006); the research sheet had 10. Figure is "registered startups" on the state platform, not strictly incubated; it is the most generous count in the list.</t>
  </si>
  <si>
    <t>https://startupmission.kerala.gov.in./</t>
  </si>
  <si>
    <t>NSRCEL (IIM Bangalore)</t>
  </si>
  <si>
    <t>Bengaluru</t>
  </si>
  <si>
    <t>2000</t>
  </si>
  <si>
    <t>University (IIM Bangalore), government-recognised</t>
  </si>
  <si>
    <t>https://nsrcel.org/</t>
  </si>
  <si>
    <t>3,222+ ventures incubated (a figure reported in a 2026 HDFC Life press release)</t>
  </si>
  <si>
    <t>₹134 Cr+ (funding raised by incubated ventures in FY 2024–25)</t>
  </si>
  <si>
    <t>IIMB incubation and entrepreneurship center. This has been recognized by the Government of India, started in 2000, and is backed by SIDBI, NITI Aayog, DST, and MeitY. It operates Women, Social Venture, and Sectorial programs.</t>
  </si>
  <si>
    <t>3,222 ventures per a 2026 press release; includes programme participants, not only residents.</t>
  </si>
  <si>
    <t>https://www.hdfclife.com/content/dam/hdfclifeinsurancecompany/about-us/pdf/media-centre/press-release/2026/May-2026/press-release-futurance-7-may-2026.pdf?srsltid=AU7gw4XzT5Q6HRtEs03VclAnbBgOjH2Z2T5vPYpehbQERy975WinJGi7</t>
  </si>
  <si>
    <t>T-Hub</t>
  </si>
  <si>
    <t>Hyderabad</t>
  </si>
  <si>
    <t>2015</t>
  </si>
  <si>
    <t>Government-backed PPP</t>
  </si>
  <si>
    <t>https://www.t-hub.co/</t>
  </si>
  <si>
    <t>More than 2,000 over nine years (CEO, YourStory, Aug 2024).  2,300+ per a directory listing (undated).</t>
  </si>
  <si>
    <t>About $2.5 billion cumulative (YourStory, Aug 2024).  $2B+ per the directory listing.</t>
  </si>
  <si>
    <t>A government-backed innovation campus that runs incubation, acceleration, corporate-partnership and international soft-landing programmes. It was set up in 2015 as a public-private partnership between the Government of Telangana, IIIT Hyderabad, ISB and NALSAR</t>
  </si>
  <si>
    <t>2,000+ per CEO (Aug 2024); a directory lists 2,300+ (undated). The dated, lower figure is used.</t>
  </si>
  <si>
    <t>https://yourstory.com/2025/08/t-hub-rolls-out-fourth-cohort-of-charge-with-21-mobility-startups</t>
  </si>
  <si>
    <t>Zone Startups India</t>
  </si>
  <si>
    <t>Mumbai</t>
  </si>
  <si>
    <t>2014</t>
  </si>
  <si>
    <t>University/Exchange joint venture</t>
  </si>
  <si>
    <t>https://www.zonestartups.com/</t>
  </si>
  <si>
    <t>Over 600 supported in nine years</t>
  </si>
  <si>
    <t>₹2,400+ crore raised by supported startups</t>
  </si>
  <si>
    <t>A Mumbai accelerator at the BSE building. It is part of a not-for-profit foundation set up by BSE Institute, Toronto Metropolitan University and Simon Fraser University.</t>
  </si>
  <si>
    <t>"Over 600 supported in nine years" (older figure) over 12 years of operation: understates current throughput.</t>
  </si>
  <si>
    <t>CIIE.CO (IIM Ahmedabad; now IIMA Ventures)</t>
  </si>
  <si>
    <t>Ahmedabad</t>
  </si>
  <si>
    <t>2002</t>
  </si>
  <si>
    <t>University(IIM Ahmedabad) with Government of India (DST) and Gujarat government support.</t>
  </si>
  <si>
    <t>https://iimaventures.com/</t>
  </si>
  <si>
    <t>Over 1,000 accelerated, over 300 funded, and over 5,000 mentored or coached.</t>
  </si>
  <si>
    <t>Portfolio companies have raised over $3 billion in follow-on capital, and 400+ startups were invested in (aggregator listing).</t>
  </si>
  <si>
    <t>Incubation, Acceleration &amp; Seed Fund Platform at IIM-A. Founded in 2002 as an entrepreneurship center and started its Technology Business Incubator in 2007-08, it is a Center of Excellence supported by DST &amp; Government of Gujarat.</t>
  </si>
  <si>
    <t>1,000 = "accelerated"; the 5,000+ mentored/coached figure is not used.</t>
  </si>
  <si>
    <t>IIT Madras Incubation Cell (IITMIC)</t>
  </si>
  <si>
    <t>Chennai</t>
  </si>
  <si>
    <t>2013</t>
  </si>
  <si>
    <t>University(IIT Madras)</t>
  </si>
  <si>
    <t>https://www.iitm.ac.in/research-park/incubation-cell</t>
  </si>
  <si>
    <t>A total portfolio of 567 startups, reported in April 2026.</t>
  </si>
  <si>
    <t>Over ₹17,000 crore in investor funding, with a combined valuation of about ₹53,000 crore (Dec 2025). Around 190 companies are still operating.</t>
  </si>
  <si>
    <t>Nodal deep-tech incubation center of IIT Madras. It was incorporated in December 2013 as a Section 8 company with a board and various committees overseeing incubation and seed investments.</t>
  </si>
  <si>
    <t>Startup Village (Kochi)</t>
  </si>
  <si>
    <t xml:space="preserve">Kochi (Kalamassery) </t>
  </si>
  <si>
    <t>2012</t>
  </si>
  <si>
    <t>Public-private partnership incubator</t>
  </si>
  <si>
    <t>https://www.pupilfirst.org/</t>
  </si>
  <si>
    <t>570+ physical and virtual startups (historical, first three years)</t>
  </si>
  <si>
    <t>Cumulative funding not publicly verified; supported by DST and private-sector contributions</t>
  </si>
  <si>
    <t>India’s first public-private-partnership technology business incubator. It was set up by Mobme Wireless and Technopark TBI with ₹2.5 crore of DST financial assistance, and began operating in April 2012.</t>
  </si>
  <si>
    <t>570+ is a historical figure for the first three years (physical + virtual); no later figure found.</t>
  </si>
  <si>
    <t>https://yourstory.com/2015/12/kochi-startup-village</t>
  </si>
  <si>
    <t>WE Hub</t>
  </si>
  <si>
    <t>2018</t>
  </si>
  <si>
    <t>Government</t>
  </si>
  <si>
    <t>https://wehub.telangana.gov.in/</t>
  </si>
  <si>
    <t>342 women-led startups incubated (CEO, Aug 2021). A later tag page says close to 3,180 women-owned startups.</t>
  </si>
  <si>
    <t>₹55 crore raised (Aug 2021)</t>
  </si>
  <si>
    <t>India’s first state-led incubator exclusively for women entrepreneurs, launched by the Telangana government.</t>
  </si>
  <si>
    <t>342 is the Aug-2021 CEO figure; a later page claims ~3,180 women-owned startups. The conservative, dated figure is used.</t>
  </si>
  <si>
    <t>https://negd.gov.in/isl/Directory/statedata/704</t>
  </si>
  <si>
    <t>a-IDEA (NAARM TBI)</t>
  </si>
  <si>
    <t>Government research institute (ICAR)</t>
  </si>
  <si>
    <t>https://aidea.naarm.org.in/</t>
  </si>
  <si>
    <t>300+ nurtured across agriculture and allied sectors (directory).</t>
  </si>
  <si>
    <t>SIDBI SEED (up to ₹1 Cr), BIRAC BIG (up to ₹50 lakh), NIDHI PRAYAS (prototype grants).</t>
  </si>
  <si>
    <t>An agri-business incubator hosted by ICAR-NAARM and supported by DST.</t>
  </si>
  <si>
    <t>Amrita TBI</t>
  </si>
  <si>
    <t>Amritapuri, Kollam</t>
  </si>
  <si>
    <t>2005</t>
  </si>
  <si>
    <t>University (Private deemed university), government-supported</t>
  </si>
  <si>
    <t>https://www.amritatbi.com/</t>
  </si>
  <si>
    <t>320+ startups incubated</t>
  </si>
  <si>
    <t>US$330 million raised by incubated startups (approx. ₹2,750 crore)</t>
  </si>
  <si>
    <t>A non-profit technology business incubator supported by DST and Amrita Vishwa Vidyapeetham. It won the national Best Technology Business Incubator award in 2017.</t>
  </si>
  <si>
    <t>Marwari Catalysts</t>
  </si>
  <si>
    <t>Jodhpur</t>
  </si>
  <si>
    <t>2019</t>
  </si>
  <si>
    <t>Private</t>
  </si>
  <si>
    <t>https://www.marwaricatalysts.com/home.php</t>
  </si>
  <si>
    <t>200+ startups supported</t>
  </si>
  <si>
    <t>₹25 lakh initial investment + up to ₹75 lakh follow-on funding under Thrive; up to ₹1 crore total.</t>
  </si>
  <si>
    <t>A Jodhpur-based accelerator and venture platform backing startups from Tier-II and Tier-III cities.</t>
  </si>
  <si>
    <t>TREC-STEP (Tiruchirappalli)</t>
  </si>
  <si>
    <t>Tiruchirappalli</t>
  </si>
  <si>
    <t>1986</t>
  </si>
  <si>
    <t>Government-promoted,institute-hosted</t>
  </si>
  <si>
    <t>https://www.trecstep.com/</t>
  </si>
  <si>
    <t>400+ high-tech startups incubated and graduated</t>
  </si>
  <si>
    <t>₹50 lakh seed incubation support per eligible startup (historical scheme); BEACON India programme approved for US$25 million in Green Climate Fund support</t>
  </si>
  <si>
    <t>One of India’s earliest science and technology entrepreneurs parks. It was promoted in 1986 by DST with the Government of Tamil Nadu and NIT Tiruchirappalli as host.</t>
  </si>
  <si>
    <t>GUSEC (Gujarat University Startup Entrepreneurship Council)</t>
  </si>
  <si>
    <t>2016</t>
  </si>
  <si>
    <t>University</t>
  </si>
  <si>
    <t>https://gusec.edu.in/</t>
  </si>
  <si>
    <t>234 supported, with ₹14 crore revenue and 666 jobs created (about 2020). 600+ per a directory.</t>
  </si>
  <si>
    <t>₹10 crore grant sanctioned to GUSEC by NSTEDB to invest in startups. This is a grant to the incubator, not funding raised by its startups.</t>
  </si>
  <si>
    <t>A not-for-profit startup support council at Gujarat University. It was set up in February 2016 and is recognised as a NIDHI technology business incubator.</t>
  </si>
  <si>
    <t>SINE (IIT Bombay)</t>
  </si>
  <si>
    <t>2004 as a society (pilot from 1999)</t>
  </si>
  <si>
    <t>University (IIT Bombay)</t>
  </si>
  <si>
    <t>https://www.sineiitb.org/</t>
  </si>
  <si>
    <t>245 startups, with a collective valuation of $3.56 billion. 81 were being incubated at the time (Jan 2025 report)</t>
  </si>
  <si>
    <t>$942 million total (late 2024 / Jan 2025 announcement).</t>
  </si>
  <si>
    <t>IIT Bombay’s technology business incubator for deep-tech and hardware startups. It began as a pilot in 1999 and became a non-profit society in 2004.</t>
  </si>
  <si>
    <t>Maker Village</t>
  </si>
  <si>
    <t>Kochi</t>
  </si>
  <si>
    <t>Government (MeitY) with university hosting.</t>
  </si>
  <si>
    <t>http://makervillage.in/</t>
  </si>
  <si>
    <t>Over 178 to 194+ startups supported (with around 45–178+ tracked depending on the specific cohort or tracking metrics).</t>
  </si>
  <si>
    <t>₹220 Cr raised; ₹46.17 Cr direct support; ₹40 Cr MeitY GENESIS; ₹5 Cr SISFS.</t>
  </si>
  <si>
    <t>India’s largest electronics hardware incubator. It is a MeitY initiative implemented by IIIT-Trivandrum, with Kerala Startup Mission as supporting partner.</t>
  </si>
  <si>
    <t>https://www.startupgrantsindia.com/providers/maker-village</t>
  </si>
  <si>
    <t>JioGenNext</t>
  </si>
  <si>
    <t>Mumbai (Navi Mumbai)</t>
  </si>
  <si>
    <t>Corporate</t>
  </si>
  <si>
    <t>https://www.jiogennext.com/</t>
  </si>
  <si>
    <t>185 Indian-originated startups supported. 118 alumni raised funding and 73 raised institutional funding.</t>
  </si>
  <si>
    <t>₹2,600 crore+ raised by 170+ startups (older directory figure).</t>
  </si>
  <si>
    <t>Reliance’s equity-free corporate accelerator running the Market Access Programme.</t>
  </si>
  <si>
    <t>JSS ATEB STEP</t>
  </si>
  <si>
    <t>1999 (registered as a society in 2003)</t>
  </si>
  <si>
    <t>University/College</t>
  </si>
  <si>
    <t>https://www.jssatebstep.com/</t>
  </si>
  <si>
    <t>150+ as mentioned in official website</t>
  </si>
  <si>
    <t>₹5Cr+ Funding Raised</t>
  </si>
  <si>
    <t>A technology business incubator for IoT, AI, healthcare, power, water and agritech.</t>
  </si>
  <si>
    <t>IIM Calcutta Innovation Park (IIMCIP)</t>
  </si>
  <si>
    <t>Kolkata</t>
  </si>
  <si>
    <t>Incorporated 22 August 2014 as a Section 8 company</t>
  </si>
  <si>
    <t>https://iimcip.org/</t>
  </si>
  <si>
    <t>100+ startups supported and 5,500+ entrepreneurs mentored (directory updated Feb 2026)</t>
  </si>
  <si>
    <t>₹26 crore of seed funding provided, and ₹1,946 crore of follow-on funding facilitated.</t>
  </si>
  <si>
    <t>Incubator of not-for-profit organizations, run by IIM Calcutta, catering to eastern and north-eastern India with emphasis on social entrepreneurship.</t>
  </si>
  <si>
    <t>100+ startups supported (directory, Feb 2026); the 5,500+ entrepreneurs mentored are not startups.</t>
  </si>
  <si>
    <t>Amity Innovation Incubator</t>
  </si>
  <si>
    <t>Noida</t>
  </si>
  <si>
    <t>2008</t>
  </si>
  <si>
    <t>University (Private)</t>
  </si>
  <si>
    <t>https://www.amity.edu/aii/</t>
  </si>
  <si>
    <t>100+ companies incubated (physical and virtual), 263+ patents filed, and 42 startups founded by Amity faculty and students.</t>
  </si>
  <si>
    <t>Seed funding up to ₹50 lakh; SISFS, NIDHI-SSS, SAMRIDH, AIM and TIDE 2.0; angel/VC investor access.</t>
  </si>
  <si>
    <t>A university incubator in Noida supported by DST, covering ICT, biotech and nanotechnology.</t>
  </si>
  <si>
    <t>"100+" companies incubated used; the separate 42 faculty/student-founded startups are not added.</t>
  </si>
  <si>
    <t>Agri-Business Incubator (ABI-ICRISAT)</t>
  </si>
  <si>
    <t>Patancheru,Hyderabad</t>
  </si>
  <si>
    <t>2003</t>
  </si>
  <si>
    <t>International research institute (CGIAR),DST-supported</t>
  </si>
  <si>
    <t>https://www.icrisat.org/services/business-incubation</t>
  </si>
  <si>
    <t>118 supported, of which 98 have graduated, with 3,000+ direct jobs created (Nov 2022).</t>
  </si>
  <si>
    <t>Over USD 57 million in follow-on funding.</t>
  </si>
  <si>
    <t>An agri-tech incubator hosted by ICRISAT, the international dryland-crops research institute. It was set up in 2003 with DST support.</t>
  </si>
  <si>
    <t>BITS Pilani TBI</t>
  </si>
  <si>
    <t>Pilani, Rajasthan</t>
  </si>
  <si>
    <t>2004</t>
  </si>
  <si>
    <t>University-affiliated/ Government incubator</t>
  </si>
  <si>
    <t>https://www.bits-pilani.ac.in/pilani/technology-business-incubator/</t>
  </si>
  <si>
    <t>75+ startups supported by the Pilani incubator; 300+ startups formed by BITS students and alumni across the broader ecosystem.</t>
  </si>
  <si>
    <t>Up to ₹50 lakh per startup (seed funding; programme-dependent)</t>
  </si>
  <si>
    <t>Technology Business Incubator at BITS Pilani backed by DST. The Pilani center began with one startup in 2005.</t>
  </si>
  <si>
    <t>Target Accelerator Program (Target India)</t>
  </si>
  <si>
    <t>Corporate accelerator/incubation programme</t>
  </si>
  <si>
    <t>https://accelerators.target.com/</t>
  </si>
  <si>
    <t>36 startups mentored by February 2019; 30 graduates reported across the first five cohorts in July 2018.</t>
  </si>
  <si>
    <t>Up to US$30,000 per startup was reported in the initial 2013 programme announcement.</t>
  </si>
  <si>
    <t>A corporate accelerator by US retailer Target, focused on retail technology. Launched in Bengaluru in January 2014.</t>
  </si>
  <si>
    <t>Sathyabama TBI</t>
  </si>
  <si>
    <t>University(private deemed)</t>
  </si>
  <si>
    <t>https://www.sathyabama.ac.in/</t>
  </si>
  <si>
    <t>34 startups launched through the Sathyabama Innovation Council;</t>
  </si>
  <si>
    <t>₹5.25 crore under the Startup India Seed Fund Scheme (SISFS) to support startups</t>
  </si>
  <si>
    <t>A DST-supported incubator. It is run through a non-profit Section 8 company. Its report calls it the first TBI in India to focus on the Blue Economy.</t>
  </si>
  <si>
    <t>thinQbate</t>
  </si>
  <si>
    <t>http://thinqbate.com/</t>
  </si>
  <si>
    <t>29+ investments recorded in Crunchbase</t>
  </si>
  <si>
    <t>$75K for 5-15% equity (a directory’s terms, undated).Not publicly disclosed</t>
  </si>
  <si>
    <t>A community-based startup incubator in Mumbai that takes equity and offers space, mentors and bridge financing.</t>
  </si>
  <si>
    <t>https://www.crunchbase.com/organization/thinqbate</t>
  </si>
  <si>
    <t>Category (research sheet)</t>
  </si>
  <si>
    <t>Decision</t>
  </si>
  <si>
    <t>Reason</t>
  </si>
  <si>
    <t>Final Rank (if eligible)</t>
  </si>
  <si>
    <t>Incubator/ accelerator</t>
  </si>
  <si>
    <t>Included - Top 20</t>
  </si>
  <si>
    <t>Runs its own incubation/acceleration programme for startups; scored on both methods.</t>
  </si>
  <si>
    <t>Eligible - ranked 21-24 (outside Top 20)</t>
  </si>
  <si>
    <t>Peak XV Surge (formerly Sequoia Surge)</t>
  </si>
  <si>
    <t>Investment-fund-led</t>
  </si>
  <si>
    <t>Excluded - investment fund / angel network</t>
  </si>
  <si>
    <t>Primary activity is investing capital (VC / AIF / angel fund), not running an incubator. Sensitivity check in Method sheet. Runs the Surge cohort programme, but it is a VC-run seed programme.</t>
  </si>
  <si>
    <t>India Accelerator</t>
  </si>
  <si>
    <t>Primary activity is investing capital (VC / AIF / angel fund), not running an incubator. Sensitivity check in Method sheet.</t>
  </si>
  <si>
    <t>100X.VC</t>
  </si>
  <si>
    <t>GSF Accelerator</t>
  </si>
  <si>
    <t>BIRAC BioNEST Network</t>
  </si>
  <si>
    <t>Scheme/network</t>
  </si>
  <si>
    <t>Excluded - funding scheme / umbrella network</t>
  </si>
  <si>
    <t>Government scheme that funds or networks many separate centres; the centres are not a single incubator and would be double-counted.</t>
  </si>
  <si>
    <t>Atal Community Innovation Centres (ACIC)</t>
  </si>
  <si>
    <t>FAAD Network (now FAAD Capital)</t>
  </si>
  <si>
    <t>AdvantEdge Founders</t>
  </si>
  <si>
    <t>Search methodology</t>
  </si>
  <si>
    <t>Route A - registries and directories</t>
  </si>
  <si>
    <t>Government/ecosystem listings of recognised incubators (e.g. national startup directories, DST/NIDHI-type programme lists, curated grant-provider directories) used to find candidates.</t>
  </si>
  <si>
    <t>Route B - open web</t>
  </si>
  <si>
    <t>Each incubator's own website, news coverage (e.g. YourStory), press releases and company databases (e.g. Crunchbase) used to find candidates missing from directories and to read current size figures.</t>
  </si>
  <si>
    <t>Candidate pool</t>
  </si>
  <si>
    <t>32 organisations were collected from the two routes and recorded in the 'All Candidates' sheet.</t>
  </si>
  <si>
    <t>Eligibility rule</t>
  </si>
  <si>
    <t>An organisation is ranked only if it runs its own incubation or acceleration programme for startups. Investment funds / angel networks (6) and funding schemes / umbrella networks (2) are excluded. 24 organisations remain.</t>
  </si>
  <si>
    <t>Ranking methodology</t>
  </si>
  <si>
    <t>Definition of 'largest'</t>
  </si>
  <si>
    <t>Number of startups supported. Funding raised, revenue or floor space were not used because they are reported inconsistently or not at all.</t>
  </si>
  <si>
    <t>Methodology 1 - scale</t>
  </si>
  <si>
    <t>Rank by cumulative startups supported (higher = larger).</t>
  </si>
  <si>
    <t>Methodology 2 - throughput</t>
  </si>
  <si>
    <t>Rank by startups per year = cumulative startups / years operating. This stops very old incubators winning purely on age.</t>
  </si>
  <si>
    <t>Combination</t>
  </si>
  <si>
    <t>Final rank = rank of the average of the two ranks; ties go to the better Method 1 rank. The 20 best are the Top 20.</t>
  </si>
  <si>
    <t>Robustness</t>
  </si>
  <si>
    <t>The same 20 organisations appear in the top 20 under Method 1 alone and under Method 2 alone; only the order changes. The cut-off is clear: the 21st organisation (BITS Pilani TBI) has 75 startups against 100-118 for ranks 18-20.</t>
  </si>
  <si>
    <t>Sensitivity to the eligibility rule</t>
  </si>
  <si>
    <t>If the 6 investment-fund entries were allowed in, Peak XV Surge, 100X.VC and FAAD Network would enter the top 20 and displace IIMCIP, Amity Innovation Incubator and ABI-ICRISAT. The top 8 would be unchanged and the incubators ranked 9-17 would move down by at most three places.</t>
  </si>
  <si>
    <t>Limitations</t>
  </si>
  <si>
    <t>Self-reported figures</t>
  </si>
  <si>
    <t>Counts come from incubators, press or directories, are not audited, and use different definitions (registered, supported, accelerated, incubated). See the 'Data note' column.</t>
  </si>
  <si>
    <t>Different dates</t>
  </si>
  <si>
    <t>Figures are from different years (2021-2026). Years operating is counted to 2026 for everyone, which understates intake for incubators whose figure is old (e.g. WE Hub, Startup Village, Zone Startups).</t>
  </si>
  <si>
    <t>Judgement calls</t>
  </si>
  <si>
    <t>KSUM (a state agency that runs incubation) is kept; ACIC (a scheme funding many centres) is excluded. Peak XV Surge is excluded as a VC-run programme. Changing these calls is a one-cell edit in the Decision column plus a re-sort.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</si>
</sst>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0"/>
      <color rgb="FFFFFFFF"/>
      <name val="Arial"/>
      <charset val="1"/>
    </font>
    <font>
      <b/>
      <sz val="10"/>
      <name val="Arial"/>
      <charset val="1"/>
    </font>
    <font>
      <sz val="10"/>
      <name val="Arial"/>
      <charset val="1"/>
    </font>
    <font>
      <sz val="10"/>
      <color rgb="FF0000FF"/>
      <name val="Arial"/>
      <charset val="1"/>
    </font>
  </fonts>
  <fills count="5">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2F2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4" fillId="3" borderId="1" xfId="0" applyFont="1" applyFill="1" applyBorder="1" applyAlignment="1">
      <alignment horizontal="center" vertical="top" wrapText="1"/>
    </xf>
    <xf numFmtId="164" fontId="3" fillId="3" borderId="1" xfId="0" applyNumberFormat="1" applyFont="1" applyFill="1" applyBorder="1" applyAlignment="1">
      <alignment vertical="top" wrapText="1"/>
    </xf>
    <xf numFmtId="0" fontId="3" fillId="3" borderId="1" xfId="0" applyFont="1" applyFill="1" applyBorder="1" applyAlignment="1">
      <alignment horizontal="center" vertical="top" wrapText="1"/>
    </xf>
    <xf numFmtId="164" fontId="3" fillId="3"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vertical="top" wrapText="1"/>
    </xf>
    <xf numFmtId="0" fontId="4" fillId="4" borderId="1" xfId="0" applyFont="1" applyFill="1" applyBorder="1" applyAlignment="1">
      <alignment horizontal="center" vertical="top" wrapText="1"/>
    </xf>
    <xf numFmtId="164" fontId="3" fillId="4" borderId="1" xfId="0" applyNumberFormat="1" applyFont="1" applyFill="1" applyBorder="1" applyAlignment="1">
      <alignment vertical="top" wrapText="1"/>
    </xf>
    <xf numFmtId="0" fontId="3" fillId="4" borderId="1" xfId="0" applyFont="1" applyFill="1" applyBorder="1" applyAlignment="1">
      <alignment horizontal="center" vertical="top" wrapText="1"/>
    </xf>
    <xf numFmtId="164" fontId="3" fillId="4" borderId="1" xfId="0" applyNumberFormat="1" applyFont="1" applyFill="1" applyBorder="1" applyAlignment="1">
      <alignment horizontal="center" vertical="top" wrapText="1"/>
    </xf>
    <xf numFmtId="0" fontId="2" fillId="0" borderId="0" xfId="0" applyFont="1"/>
    <xf numFmtId="0" fontId="3" fillId="0" borderId="0" xfId="0" applyFont="1"/>
    <xf numFmtId="0" fontId="3" fillId="0" borderId="1" xfId="0" applyFont="1" applyBorder="1" applyAlignment="1">
      <alignment vertical="top" wrapText="1"/>
    </xf>
    <xf numFmtId="0" fontId="3" fillId="0" borderId="1" xfId="0" applyFont="1" applyBorder="1" applyAlignment="1">
      <alignment horizontal="center" vertical="top" wrapText="1"/>
    </xf>
    <xf numFmtId="0" fontId="1" fillId="2" borderId="0" xfId="0" applyFont="1" applyFill="1"/>
    <xf numFmtId="0" fontId="0" fillId="2" borderId="0" xfId="0" applyFill="1"/>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
  <sheetViews>
    <sheetView tabSelected="1" zoomScaleNormal="100" workbookViewId="0">
      <pane xSplit="2" ySplit="1" topLeftCell="C23" activePane="bottomRight" state="frozen"/>
      <selection pane="topRight" activeCell="C1" sqref="C1"/>
      <selection pane="bottomLeft" activeCell="A2" sqref="A2"/>
      <selection pane="bottomRight" activeCell="A32" sqref="A32"/>
    </sheetView>
  </sheetViews>
  <sheetFormatPr defaultColWidth="8.6640625" defaultRowHeight="14.4" x14ac:dyDescent="0.3"/>
  <cols>
    <col min="1" max="1" width="8" customWidth="1"/>
    <col min="2" max="2" width="34" customWidth="1"/>
    <col min="3" max="3" width="18" customWidth="1"/>
    <col min="4" max="4" width="16" customWidth="1"/>
    <col min="5" max="5" width="24" customWidth="1"/>
    <col min="6" max="6" width="32" customWidth="1"/>
    <col min="7" max="7" width="38" customWidth="1"/>
    <col min="8" max="8" width="13" customWidth="1"/>
    <col min="9" max="9" width="10" customWidth="1"/>
    <col min="10" max="10" width="11" customWidth="1"/>
    <col min="11" max="12" width="14" customWidth="1"/>
    <col min="13" max="13" width="12" customWidth="1"/>
    <col min="14" max="14" width="9" customWidth="1"/>
    <col min="15" max="15" width="38" customWidth="1"/>
    <col min="16" max="16" width="52" customWidth="1"/>
    <col min="17" max="17" width="44" customWidth="1"/>
    <col min="18" max="18" width="40" customWidth="1"/>
  </cols>
  <sheetData>
    <row r="1" spans="1:18" ht="57.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52.8" x14ac:dyDescent="0.3">
      <c r="A2" s="2">
        <f t="shared" ref="A2:A25" si="0">COUNTIF($M$2:$M$25,"&lt;"&amp;M2)+COUNTIFS($M$2:$M$25,M2,$K$2:$K$25,"&lt;"&amp;K2)+1</f>
        <v>1</v>
      </c>
      <c r="B2" s="3" t="s">
        <v>18</v>
      </c>
      <c r="C2" s="3" t="s">
        <v>19</v>
      </c>
      <c r="D2" s="3" t="s">
        <v>20</v>
      </c>
      <c r="E2" s="3" t="s">
        <v>21</v>
      </c>
      <c r="F2" s="3" t="s">
        <v>22</v>
      </c>
      <c r="G2" s="3" t="s">
        <v>23</v>
      </c>
      <c r="H2" s="4">
        <v>8000</v>
      </c>
      <c r="I2" s="4">
        <v>20</v>
      </c>
      <c r="J2" s="5">
        <f t="shared" ref="J2:J25" si="1">H2/I2</f>
        <v>400</v>
      </c>
      <c r="K2" s="6">
        <f t="shared" ref="K2:K25" si="2">RANK(H2,$H$2:$H$25,0)</f>
        <v>1</v>
      </c>
      <c r="L2" s="6">
        <f t="shared" ref="L2:L25" si="3">RANK(J2,$J$2:$J$25,0)</f>
        <v>1</v>
      </c>
      <c r="M2" s="7">
        <f t="shared" ref="M2:M25" si="4">AVERAGE(K2,L2)</f>
        <v>1</v>
      </c>
      <c r="N2" s="6" t="str">
        <f t="shared" ref="N2:N25" si="5">IF(A2&lt;=20,"Yes","No")</f>
        <v>Yes</v>
      </c>
      <c r="O2" s="3" t="s">
        <v>24</v>
      </c>
      <c r="P2" s="3" t="s">
        <v>25</v>
      </c>
      <c r="Q2" s="3" t="s">
        <v>26</v>
      </c>
      <c r="R2" s="3" t="s">
        <v>27</v>
      </c>
    </row>
    <row r="3" spans="1:18" ht="79.2" x14ac:dyDescent="0.3">
      <c r="A3" s="2">
        <f t="shared" si="0"/>
        <v>2</v>
      </c>
      <c r="B3" s="3" t="s">
        <v>28</v>
      </c>
      <c r="C3" s="3" t="s">
        <v>29</v>
      </c>
      <c r="D3" s="3" t="s">
        <v>30</v>
      </c>
      <c r="E3" s="3" t="s">
        <v>31</v>
      </c>
      <c r="F3" s="3" t="s">
        <v>32</v>
      </c>
      <c r="G3" s="3" t="s">
        <v>33</v>
      </c>
      <c r="H3" s="4">
        <v>3222</v>
      </c>
      <c r="I3" s="4">
        <v>26</v>
      </c>
      <c r="J3" s="5">
        <f t="shared" si="1"/>
        <v>123.92307692307692</v>
      </c>
      <c r="K3" s="6">
        <f t="shared" si="2"/>
        <v>2</v>
      </c>
      <c r="L3" s="6">
        <f t="shared" si="3"/>
        <v>3</v>
      </c>
      <c r="M3" s="7">
        <f t="shared" si="4"/>
        <v>2.5</v>
      </c>
      <c r="N3" s="6" t="str">
        <f t="shared" si="5"/>
        <v>Yes</v>
      </c>
      <c r="O3" s="3" t="s">
        <v>34</v>
      </c>
      <c r="P3" s="3" t="s">
        <v>35</v>
      </c>
      <c r="Q3" s="3" t="s">
        <v>36</v>
      </c>
      <c r="R3" s="3" t="s">
        <v>37</v>
      </c>
    </row>
    <row r="4" spans="1:18" ht="66" x14ac:dyDescent="0.3">
      <c r="A4" s="2">
        <f t="shared" si="0"/>
        <v>3</v>
      </c>
      <c r="B4" s="3" t="s">
        <v>38</v>
      </c>
      <c r="C4" s="3" t="s">
        <v>39</v>
      </c>
      <c r="D4" s="3" t="s">
        <v>40</v>
      </c>
      <c r="E4" s="3" t="s">
        <v>41</v>
      </c>
      <c r="F4" s="3" t="s">
        <v>42</v>
      </c>
      <c r="G4" s="3" t="s">
        <v>43</v>
      </c>
      <c r="H4" s="4">
        <v>2000</v>
      </c>
      <c r="I4" s="4">
        <v>11</v>
      </c>
      <c r="J4" s="5">
        <f t="shared" si="1"/>
        <v>181.81818181818181</v>
      </c>
      <c r="K4" s="6">
        <f t="shared" si="2"/>
        <v>3</v>
      </c>
      <c r="L4" s="6">
        <f t="shared" si="3"/>
        <v>2</v>
      </c>
      <c r="M4" s="7">
        <f t="shared" si="4"/>
        <v>2.5</v>
      </c>
      <c r="N4" s="6" t="str">
        <f t="shared" si="5"/>
        <v>Yes</v>
      </c>
      <c r="O4" s="3" t="s">
        <v>44</v>
      </c>
      <c r="P4" s="3" t="s">
        <v>45</v>
      </c>
      <c r="Q4" s="3" t="s">
        <v>46</v>
      </c>
      <c r="R4" s="3" t="s">
        <v>47</v>
      </c>
    </row>
    <row r="5" spans="1:18" ht="39.6" x14ac:dyDescent="0.3">
      <c r="A5" s="2">
        <f t="shared" si="0"/>
        <v>4</v>
      </c>
      <c r="B5" s="3" t="s">
        <v>48</v>
      </c>
      <c r="C5" s="3" t="s">
        <v>49</v>
      </c>
      <c r="D5" s="3" t="s">
        <v>50</v>
      </c>
      <c r="E5" s="3" t="s">
        <v>51</v>
      </c>
      <c r="F5" s="3" t="s">
        <v>52</v>
      </c>
      <c r="G5" s="3" t="s">
        <v>53</v>
      </c>
      <c r="H5" s="4">
        <v>600</v>
      </c>
      <c r="I5" s="4">
        <v>12</v>
      </c>
      <c r="J5" s="5">
        <f t="shared" si="1"/>
        <v>50</v>
      </c>
      <c r="K5" s="6">
        <f t="shared" si="2"/>
        <v>5</v>
      </c>
      <c r="L5" s="6">
        <f t="shared" si="3"/>
        <v>4</v>
      </c>
      <c r="M5" s="7">
        <f t="shared" si="4"/>
        <v>4.5</v>
      </c>
      <c r="N5" s="6" t="str">
        <f t="shared" si="5"/>
        <v>Yes</v>
      </c>
      <c r="O5" s="3" t="s">
        <v>54</v>
      </c>
      <c r="P5" s="3" t="s">
        <v>55</v>
      </c>
      <c r="Q5" s="3" t="s">
        <v>56</v>
      </c>
      <c r="R5" s="3" t="s">
        <v>52</v>
      </c>
    </row>
    <row r="6" spans="1:18" ht="52.8" x14ac:dyDescent="0.3">
      <c r="A6" s="2">
        <f t="shared" si="0"/>
        <v>5</v>
      </c>
      <c r="B6" s="3" t="s">
        <v>57</v>
      </c>
      <c r="C6" s="3" t="s">
        <v>58</v>
      </c>
      <c r="D6" s="3" t="s">
        <v>59</v>
      </c>
      <c r="E6" s="3" t="s">
        <v>60</v>
      </c>
      <c r="F6" s="3" t="s">
        <v>61</v>
      </c>
      <c r="G6" s="3" t="s">
        <v>62</v>
      </c>
      <c r="H6" s="4">
        <v>1000</v>
      </c>
      <c r="I6" s="4">
        <v>24</v>
      </c>
      <c r="J6" s="5">
        <f t="shared" si="1"/>
        <v>41.666666666666664</v>
      </c>
      <c r="K6" s="6">
        <f t="shared" si="2"/>
        <v>4</v>
      </c>
      <c r="L6" s="6">
        <f t="shared" si="3"/>
        <v>7</v>
      </c>
      <c r="M6" s="7">
        <f t="shared" si="4"/>
        <v>5.5</v>
      </c>
      <c r="N6" s="6" t="str">
        <f t="shared" si="5"/>
        <v>Yes</v>
      </c>
      <c r="O6" s="3" t="s">
        <v>63</v>
      </c>
      <c r="P6" s="3" t="s">
        <v>64</v>
      </c>
      <c r="Q6" s="3" t="s">
        <v>65</v>
      </c>
      <c r="R6" s="3" t="s">
        <v>61</v>
      </c>
    </row>
    <row r="7" spans="1:18" ht="52.8" x14ac:dyDescent="0.3">
      <c r="A7" s="2">
        <f t="shared" si="0"/>
        <v>6</v>
      </c>
      <c r="B7" s="3" t="s">
        <v>66</v>
      </c>
      <c r="C7" s="3" t="s">
        <v>67</v>
      </c>
      <c r="D7" s="3" t="s">
        <v>68</v>
      </c>
      <c r="E7" s="3" t="s">
        <v>69</v>
      </c>
      <c r="F7" s="3" t="s">
        <v>70</v>
      </c>
      <c r="G7" s="3" t="s">
        <v>71</v>
      </c>
      <c r="H7" s="4">
        <v>567</v>
      </c>
      <c r="I7" s="4">
        <v>13</v>
      </c>
      <c r="J7" s="5">
        <f t="shared" si="1"/>
        <v>43.615384615384613</v>
      </c>
      <c r="K7" s="6">
        <f t="shared" si="2"/>
        <v>7</v>
      </c>
      <c r="L7" s="6">
        <f t="shared" si="3"/>
        <v>5</v>
      </c>
      <c r="M7" s="7">
        <f t="shared" si="4"/>
        <v>6</v>
      </c>
      <c r="N7" s="6" t="str">
        <f t="shared" si="5"/>
        <v>Yes</v>
      </c>
      <c r="O7" s="3" t="s">
        <v>72</v>
      </c>
      <c r="P7" s="3" t="s">
        <v>73</v>
      </c>
      <c r="Q7" s="3"/>
      <c r="R7" s="3" t="s">
        <v>70</v>
      </c>
    </row>
    <row r="8" spans="1:18" ht="52.8" x14ac:dyDescent="0.3">
      <c r="A8" s="2">
        <f t="shared" si="0"/>
        <v>7</v>
      </c>
      <c r="B8" s="3" t="s">
        <v>74</v>
      </c>
      <c r="C8" s="3" t="s">
        <v>75</v>
      </c>
      <c r="D8" s="3" t="s">
        <v>76</v>
      </c>
      <c r="E8" s="3" t="s">
        <v>77</v>
      </c>
      <c r="F8" s="3" t="s">
        <v>78</v>
      </c>
      <c r="G8" s="3" t="s">
        <v>79</v>
      </c>
      <c r="H8" s="4">
        <v>570</v>
      </c>
      <c r="I8" s="4">
        <v>14</v>
      </c>
      <c r="J8" s="5">
        <f t="shared" si="1"/>
        <v>40.714285714285715</v>
      </c>
      <c r="K8" s="6">
        <f t="shared" si="2"/>
        <v>6</v>
      </c>
      <c r="L8" s="6">
        <f t="shared" si="3"/>
        <v>8</v>
      </c>
      <c r="M8" s="7">
        <f t="shared" si="4"/>
        <v>7</v>
      </c>
      <c r="N8" s="6" t="str">
        <f t="shared" si="5"/>
        <v>Yes</v>
      </c>
      <c r="O8" s="3" t="s">
        <v>80</v>
      </c>
      <c r="P8" s="3" t="s">
        <v>81</v>
      </c>
      <c r="Q8" s="3" t="s">
        <v>82</v>
      </c>
      <c r="R8" s="3" t="s">
        <v>83</v>
      </c>
    </row>
    <row r="9" spans="1:18" ht="39.6" x14ac:dyDescent="0.3">
      <c r="A9" s="2">
        <f t="shared" si="0"/>
        <v>8</v>
      </c>
      <c r="B9" s="3" t="s">
        <v>84</v>
      </c>
      <c r="C9" s="3" t="s">
        <v>39</v>
      </c>
      <c r="D9" s="3" t="s">
        <v>85</v>
      </c>
      <c r="E9" s="3" t="s">
        <v>86</v>
      </c>
      <c r="F9" s="3" t="s">
        <v>87</v>
      </c>
      <c r="G9" s="3" t="s">
        <v>88</v>
      </c>
      <c r="H9" s="4">
        <v>342</v>
      </c>
      <c r="I9" s="4">
        <v>8</v>
      </c>
      <c r="J9" s="5">
        <f t="shared" si="1"/>
        <v>42.75</v>
      </c>
      <c r="K9" s="6">
        <f t="shared" si="2"/>
        <v>9</v>
      </c>
      <c r="L9" s="6">
        <f t="shared" si="3"/>
        <v>6</v>
      </c>
      <c r="M9" s="7">
        <f t="shared" si="4"/>
        <v>7.5</v>
      </c>
      <c r="N9" s="6" t="str">
        <f t="shared" si="5"/>
        <v>Yes</v>
      </c>
      <c r="O9" s="3" t="s">
        <v>89</v>
      </c>
      <c r="P9" s="3" t="s">
        <v>90</v>
      </c>
      <c r="Q9" s="3" t="s">
        <v>91</v>
      </c>
      <c r="R9" s="3" t="s">
        <v>92</v>
      </c>
    </row>
    <row r="10" spans="1:18" ht="39.6" x14ac:dyDescent="0.3">
      <c r="A10" s="2">
        <f t="shared" si="0"/>
        <v>9</v>
      </c>
      <c r="B10" s="3" t="s">
        <v>93</v>
      </c>
      <c r="C10" s="3" t="s">
        <v>39</v>
      </c>
      <c r="D10" s="3" t="s">
        <v>50</v>
      </c>
      <c r="E10" s="3" t="s">
        <v>94</v>
      </c>
      <c r="F10" s="3" t="s">
        <v>95</v>
      </c>
      <c r="G10" s="3" t="s">
        <v>96</v>
      </c>
      <c r="H10" s="4">
        <v>300</v>
      </c>
      <c r="I10" s="4">
        <v>12</v>
      </c>
      <c r="J10" s="5">
        <f t="shared" si="1"/>
        <v>25</v>
      </c>
      <c r="K10" s="6">
        <f t="shared" si="2"/>
        <v>11</v>
      </c>
      <c r="L10" s="6">
        <f t="shared" si="3"/>
        <v>10</v>
      </c>
      <c r="M10" s="7">
        <f t="shared" si="4"/>
        <v>10.5</v>
      </c>
      <c r="N10" s="6" t="str">
        <f t="shared" si="5"/>
        <v>Yes</v>
      </c>
      <c r="O10" s="3" t="s">
        <v>97</v>
      </c>
      <c r="P10" s="3" t="s">
        <v>98</v>
      </c>
      <c r="Q10" s="3"/>
      <c r="R10" s="3" t="s">
        <v>95</v>
      </c>
    </row>
    <row r="11" spans="1:18" ht="39.6" x14ac:dyDescent="0.3">
      <c r="A11" s="2">
        <f t="shared" si="0"/>
        <v>10</v>
      </c>
      <c r="B11" s="3" t="s">
        <v>99</v>
      </c>
      <c r="C11" s="3" t="s">
        <v>100</v>
      </c>
      <c r="D11" s="3" t="s">
        <v>101</v>
      </c>
      <c r="E11" s="3" t="s">
        <v>102</v>
      </c>
      <c r="F11" s="3" t="s">
        <v>103</v>
      </c>
      <c r="G11" s="3" t="s">
        <v>104</v>
      </c>
      <c r="H11" s="4">
        <v>320</v>
      </c>
      <c r="I11" s="4">
        <v>21</v>
      </c>
      <c r="J11" s="5">
        <f t="shared" si="1"/>
        <v>15.238095238095237</v>
      </c>
      <c r="K11" s="6">
        <f t="shared" si="2"/>
        <v>10</v>
      </c>
      <c r="L11" s="6">
        <f t="shared" si="3"/>
        <v>13</v>
      </c>
      <c r="M11" s="7">
        <f t="shared" si="4"/>
        <v>11.5</v>
      </c>
      <c r="N11" s="6" t="str">
        <f t="shared" si="5"/>
        <v>Yes</v>
      </c>
      <c r="O11" s="3" t="s">
        <v>105</v>
      </c>
      <c r="P11" s="3" t="s">
        <v>106</v>
      </c>
      <c r="Q11" s="3"/>
      <c r="R11" s="3" t="s">
        <v>103</v>
      </c>
    </row>
    <row r="12" spans="1:18" ht="39.6" x14ac:dyDescent="0.3">
      <c r="A12" s="2">
        <f t="shared" si="0"/>
        <v>11</v>
      </c>
      <c r="B12" s="3" t="s">
        <v>107</v>
      </c>
      <c r="C12" s="3" t="s">
        <v>108</v>
      </c>
      <c r="D12" s="3" t="s">
        <v>109</v>
      </c>
      <c r="E12" s="3" t="s">
        <v>110</v>
      </c>
      <c r="F12" s="3" t="s">
        <v>111</v>
      </c>
      <c r="G12" s="3" t="s">
        <v>112</v>
      </c>
      <c r="H12" s="4">
        <v>200</v>
      </c>
      <c r="I12" s="4">
        <v>7</v>
      </c>
      <c r="J12" s="5">
        <f t="shared" si="1"/>
        <v>28.571428571428573</v>
      </c>
      <c r="K12" s="6">
        <f t="shared" si="2"/>
        <v>14</v>
      </c>
      <c r="L12" s="6">
        <f t="shared" si="3"/>
        <v>9</v>
      </c>
      <c r="M12" s="7">
        <f t="shared" si="4"/>
        <v>11.5</v>
      </c>
      <c r="N12" s="6" t="str">
        <f t="shared" si="5"/>
        <v>Yes</v>
      </c>
      <c r="O12" s="3" t="s">
        <v>113</v>
      </c>
      <c r="P12" s="3" t="s">
        <v>114</v>
      </c>
      <c r="Q12" s="3"/>
      <c r="R12" s="3" t="s">
        <v>111</v>
      </c>
    </row>
    <row r="13" spans="1:18" ht="52.8" x14ac:dyDescent="0.3">
      <c r="A13" s="2">
        <f t="shared" si="0"/>
        <v>12</v>
      </c>
      <c r="B13" s="3" t="s">
        <v>115</v>
      </c>
      <c r="C13" s="3" t="s">
        <v>116</v>
      </c>
      <c r="D13" s="3" t="s">
        <v>117</v>
      </c>
      <c r="E13" s="3" t="s">
        <v>118</v>
      </c>
      <c r="F13" s="3" t="s">
        <v>119</v>
      </c>
      <c r="G13" s="3" t="s">
        <v>120</v>
      </c>
      <c r="H13" s="4">
        <v>400</v>
      </c>
      <c r="I13" s="4">
        <v>40</v>
      </c>
      <c r="J13" s="5">
        <f t="shared" si="1"/>
        <v>10</v>
      </c>
      <c r="K13" s="6">
        <f t="shared" si="2"/>
        <v>8</v>
      </c>
      <c r="L13" s="6">
        <f t="shared" si="3"/>
        <v>16</v>
      </c>
      <c r="M13" s="7">
        <f t="shared" si="4"/>
        <v>12</v>
      </c>
      <c r="N13" s="6" t="str">
        <f t="shared" si="5"/>
        <v>Yes</v>
      </c>
      <c r="O13" s="3" t="s">
        <v>121</v>
      </c>
      <c r="P13" s="3" t="s">
        <v>122</v>
      </c>
      <c r="Q13" s="3"/>
      <c r="R13" s="3" t="s">
        <v>119</v>
      </c>
    </row>
    <row r="14" spans="1:18" ht="52.8" x14ac:dyDescent="0.3">
      <c r="A14" s="2">
        <f t="shared" si="0"/>
        <v>13</v>
      </c>
      <c r="B14" s="3" t="s">
        <v>123</v>
      </c>
      <c r="C14" s="3" t="s">
        <v>58</v>
      </c>
      <c r="D14" s="3" t="s">
        <v>124</v>
      </c>
      <c r="E14" s="3" t="s">
        <v>125</v>
      </c>
      <c r="F14" s="3" t="s">
        <v>126</v>
      </c>
      <c r="G14" s="3" t="s">
        <v>127</v>
      </c>
      <c r="H14" s="4">
        <v>234</v>
      </c>
      <c r="I14" s="4">
        <v>10</v>
      </c>
      <c r="J14" s="5">
        <f t="shared" si="1"/>
        <v>23.4</v>
      </c>
      <c r="K14" s="6">
        <f t="shared" si="2"/>
        <v>13</v>
      </c>
      <c r="L14" s="6">
        <f t="shared" si="3"/>
        <v>11</v>
      </c>
      <c r="M14" s="7">
        <f t="shared" si="4"/>
        <v>12</v>
      </c>
      <c r="N14" s="6" t="str">
        <f t="shared" si="5"/>
        <v>Yes</v>
      </c>
      <c r="O14" s="3" t="s">
        <v>128</v>
      </c>
      <c r="P14" s="3" t="s">
        <v>129</v>
      </c>
      <c r="Q14" s="3"/>
      <c r="R14" s="3" t="s">
        <v>126</v>
      </c>
    </row>
    <row r="15" spans="1:18" ht="39.6" x14ac:dyDescent="0.3">
      <c r="A15" s="2">
        <f t="shared" si="0"/>
        <v>14</v>
      </c>
      <c r="B15" s="3" t="s">
        <v>130</v>
      </c>
      <c r="C15" s="3" t="s">
        <v>49</v>
      </c>
      <c r="D15" s="3" t="s">
        <v>131</v>
      </c>
      <c r="E15" s="3" t="s">
        <v>132</v>
      </c>
      <c r="F15" s="3" t="s">
        <v>133</v>
      </c>
      <c r="G15" s="3" t="s">
        <v>134</v>
      </c>
      <c r="H15" s="4">
        <v>245</v>
      </c>
      <c r="I15" s="4">
        <v>22</v>
      </c>
      <c r="J15" s="5">
        <f t="shared" si="1"/>
        <v>11.136363636363637</v>
      </c>
      <c r="K15" s="6">
        <f t="shared" si="2"/>
        <v>12</v>
      </c>
      <c r="L15" s="6">
        <f t="shared" si="3"/>
        <v>15</v>
      </c>
      <c r="M15" s="7">
        <f t="shared" si="4"/>
        <v>13.5</v>
      </c>
      <c r="N15" s="6" t="str">
        <f t="shared" si="5"/>
        <v>Yes</v>
      </c>
      <c r="O15" s="3" t="s">
        <v>135</v>
      </c>
      <c r="P15" s="3" t="s">
        <v>136</v>
      </c>
      <c r="Q15" s="3"/>
      <c r="R15" s="3" t="s">
        <v>133</v>
      </c>
    </row>
    <row r="16" spans="1:18" ht="39.6" x14ac:dyDescent="0.3">
      <c r="A16" s="2">
        <f t="shared" si="0"/>
        <v>15</v>
      </c>
      <c r="B16" s="3" t="s">
        <v>137</v>
      </c>
      <c r="C16" s="3" t="s">
        <v>138</v>
      </c>
      <c r="D16" s="3" t="s">
        <v>40</v>
      </c>
      <c r="E16" s="3" t="s">
        <v>139</v>
      </c>
      <c r="F16" s="3" t="s">
        <v>140</v>
      </c>
      <c r="G16" s="3" t="s">
        <v>141</v>
      </c>
      <c r="H16" s="4">
        <v>194</v>
      </c>
      <c r="I16" s="4">
        <v>11</v>
      </c>
      <c r="J16" s="5">
        <f t="shared" si="1"/>
        <v>17.636363636363637</v>
      </c>
      <c r="K16" s="6">
        <f t="shared" si="2"/>
        <v>15</v>
      </c>
      <c r="L16" s="6">
        <f t="shared" si="3"/>
        <v>12</v>
      </c>
      <c r="M16" s="7">
        <f t="shared" si="4"/>
        <v>13.5</v>
      </c>
      <c r="N16" s="6" t="str">
        <f t="shared" si="5"/>
        <v>Yes</v>
      </c>
      <c r="O16" s="3" t="s">
        <v>142</v>
      </c>
      <c r="P16" s="3" t="s">
        <v>143</v>
      </c>
      <c r="Q16" s="3"/>
      <c r="R16" s="3" t="s">
        <v>144</v>
      </c>
    </row>
    <row r="17" spans="1:18" ht="39.6" x14ac:dyDescent="0.3">
      <c r="A17" s="2">
        <f t="shared" si="0"/>
        <v>16</v>
      </c>
      <c r="B17" s="3" t="s">
        <v>145</v>
      </c>
      <c r="C17" s="3" t="s">
        <v>146</v>
      </c>
      <c r="D17" s="3" t="s">
        <v>68</v>
      </c>
      <c r="E17" s="3" t="s">
        <v>147</v>
      </c>
      <c r="F17" s="3" t="s">
        <v>148</v>
      </c>
      <c r="G17" s="3" t="s">
        <v>149</v>
      </c>
      <c r="H17" s="4">
        <v>185</v>
      </c>
      <c r="I17" s="4">
        <v>13</v>
      </c>
      <c r="J17" s="5">
        <f t="shared" si="1"/>
        <v>14.23076923076923</v>
      </c>
      <c r="K17" s="6">
        <f t="shared" si="2"/>
        <v>16</v>
      </c>
      <c r="L17" s="6">
        <f t="shared" si="3"/>
        <v>14</v>
      </c>
      <c r="M17" s="7">
        <f t="shared" si="4"/>
        <v>15</v>
      </c>
      <c r="N17" s="6" t="str">
        <f t="shared" si="5"/>
        <v>Yes</v>
      </c>
      <c r="O17" s="3" t="s">
        <v>150</v>
      </c>
      <c r="P17" s="3" t="s">
        <v>151</v>
      </c>
      <c r="Q17" s="3"/>
      <c r="R17" s="3" t="s">
        <v>148</v>
      </c>
    </row>
    <row r="18" spans="1:18" ht="39.6" x14ac:dyDescent="0.3">
      <c r="A18" s="2">
        <f t="shared" si="0"/>
        <v>17</v>
      </c>
      <c r="B18" s="3" t="s">
        <v>152</v>
      </c>
      <c r="C18" s="3" t="s">
        <v>29</v>
      </c>
      <c r="D18" s="3" t="s">
        <v>153</v>
      </c>
      <c r="E18" s="3" t="s">
        <v>154</v>
      </c>
      <c r="F18" s="3" t="s">
        <v>155</v>
      </c>
      <c r="G18" s="3" t="s">
        <v>156</v>
      </c>
      <c r="H18" s="4">
        <v>150</v>
      </c>
      <c r="I18" s="4">
        <v>27</v>
      </c>
      <c r="J18" s="5">
        <f t="shared" si="1"/>
        <v>5.5555555555555554</v>
      </c>
      <c r="K18" s="6">
        <f t="shared" si="2"/>
        <v>17</v>
      </c>
      <c r="L18" s="6">
        <f t="shared" si="3"/>
        <v>18</v>
      </c>
      <c r="M18" s="7">
        <f t="shared" si="4"/>
        <v>17.5</v>
      </c>
      <c r="N18" s="6" t="str">
        <f t="shared" si="5"/>
        <v>Yes</v>
      </c>
      <c r="O18" s="3" t="s">
        <v>157</v>
      </c>
      <c r="P18" s="3" t="s">
        <v>158</v>
      </c>
      <c r="Q18" s="3"/>
      <c r="R18" s="3" t="s">
        <v>155</v>
      </c>
    </row>
    <row r="19" spans="1:18" ht="52.8" x14ac:dyDescent="0.3">
      <c r="A19" s="2">
        <f t="shared" si="0"/>
        <v>18</v>
      </c>
      <c r="B19" s="3" t="s">
        <v>159</v>
      </c>
      <c r="C19" s="3" t="s">
        <v>160</v>
      </c>
      <c r="D19" s="3" t="s">
        <v>161</v>
      </c>
      <c r="E19" s="3" t="s">
        <v>125</v>
      </c>
      <c r="F19" s="3" t="s">
        <v>162</v>
      </c>
      <c r="G19" s="3" t="s">
        <v>163</v>
      </c>
      <c r="H19" s="4">
        <v>100</v>
      </c>
      <c r="I19" s="4">
        <v>12</v>
      </c>
      <c r="J19" s="5">
        <f t="shared" si="1"/>
        <v>8.3333333333333339</v>
      </c>
      <c r="K19" s="6">
        <f t="shared" si="2"/>
        <v>19</v>
      </c>
      <c r="L19" s="6">
        <f t="shared" si="3"/>
        <v>17</v>
      </c>
      <c r="M19" s="7">
        <f t="shared" si="4"/>
        <v>18</v>
      </c>
      <c r="N19" s="6" t="str">
        <f t="shared" si="5"/>
        <v>Yes</v>
      </c>
      <c r="O19" s="3" t="s">
        <v>164</v>
      </c>
      <c r="P19" s="3" t="s">
        <v>165</v>
      </c>
      <c r="Q19" s="3" t="s">
        <v>166</v>
      </c>
      <c r="R19" s="3" t="s">
        <v>162</v>
      </c>
    </row>
    <row r="20" spans="1:18" ht="39.6" x14ac:dyDescent="0.3">
      <c r="A20" s="2">
        <f t="shared" si="0"/>
        <v>19</v>
      </c>
      <c r="B20" s="3" t="s">
        <v>167</v>
      </c>
      <c r="C20" s="3" t="s">
        <v>168</v>
      </c>
      <c r="D20" s="3" t="s">
        <v>169</v>
      </c>
      <c r="E20" s="3" t="s">
        <v>170</v>
      </c>
      <c r="F20" s="3" t="s">
        <v>171</v>
      </c>
      <c r="G20" s="3" t="s">
        <v>172</v>
      </c>
      <c r="H20" s="4">
        <v>100</v>
      </c>
      <c r="I20" s="4">
        <v>18</v>
      </c>
      <c r="J20" s="5">
        <f t="shared" si="1"/>
        <v>5.5555555555555554</v>
      </c>
      <c r="K20" s="6">
        <f t="shared" si="2"/>
        <v>19</v>
      </c>
      <c r="L20" s="6">
        <f t="shared" si="3"/>
        <v>18</v>
      </c>
      <c r="M20" s="7">
        <f t="shared" si="4"/>
        <v>18.5</v>
      </c>
      <c r="N20" s="6" t="str">
        <f t="shared" si="5"/>
        <v>Yes</v>
      </c>
      <c r="O20" s="3" t="s">
        <v>173</v>
      </c>
      <c r="P20" s="3" t="s">
        <v>174</v>
      </c>
      <c r="Q20" s="3" t="s">
        <v>175</v>
      </c>
      <c r="R20" s="3" t="s">
        <v>171</v>
      </c>
    </row>
    <row r="21" spans="1:18" ht="39.6" x14ac:dyDescent="0.3">
      <c r="A21" s="2">
        <f t="shared" si="0"/>
        <v>20</v>
      </c>
      <c r="B21" s="3" t="s">
        <v>176</v>
      </c>
      <c r="C21" s="3" t="s">
        <v>177</v>
      </c>
      <c r="D21" s="3" t="s">
        <v>178</v>
      </c>
      <c r="E21" s="3" t="s">
        <v>179</v>
      </c>
      <c r="F21" s="3" t="s">
        <v>180</v>
      </c>
      <c r="G21" s="3" t="s">
        <v>181</v>
      </c>
      <c r="H21" s="4">
        <v>118</v>
      </c>
      <c r="I21" s="4">
        <v>23</v>
      </c>
      <c r="J21" s="5">
        <f t="shared" si="1"/>
        <v>5.1304347826086953</v>
      </c>
      <c r="K21" s="6">
        <f t="shared" si="2"/>
        <v>18</v>
      </c>
      <c r="L21" s="6">
        <f t="shared" si="3"/>
        <v>20</v>
      </c>
      <c r="M21" s="7">
        <f t="shared" si="4"/>
        <v>19</v>
      </c>
      <c r="N21" s="6" t="str">
        <f t="shared" si="5"/>
        <v>Yes</v>
      </c>
      <c r="O21" s="3" t="s">
        <v>182</v>
      </c>
      <c r="P21" s="3" t="s">
        <v>183</v>
      </c>
      <c r="Q21" s="3"/>
      <c r="R21" s="3" t="s">
        <v>180</v>
      </c>
    </row>
    <row r="22" spans="1:18" ht="52.8" x14ac:dyDescent="0.3">
      <c r="A22" s="8">
        <f t="shared" si="0"/>
        <v>21</v>
      </c>
      <c r="B22" s="9" t="s">
        <v>184</v>
      </c>
      <c r="C22" s="9" t="s">
        <v>185</v>
      </c>
      <c r="D22" s="9" t="s">
        <v>186</v>
      </c>
      <c r="E22" s="9" t="s">
        <v>187</v>
      </c>
      <c r="F22" s="9" t="s">
        <v>188</v>
      </c>
      <c r="G22" s="9" t="s">
        <v>189</v>
      </c>
      <c r="H22" s="10">
        <v>75</v>
      </c>
      <c r="I22" s="10">
        <v>22</v>
      </c>
      <c r="J22" s="11">
        <f t="shared" si="1"/>
        <v>3.4090909090909092</v>
      </c>
      <c r="K22" s="12">
        <f t="shared" si="2"/>
        <v>21</v>
      </c>
      <c r="L22" s="12">
        <f t="shared" si="3"/>
        <v>21</v>
      </c>
      <c r="M22" s="13">
        <f t="shared" si="4"/>
        <v>21</v>
      </c>
      <c r="N22" s="12" t="str">
        <f t="shared" si="5"/>
        <v>No</v>
      </c>
      <c r="O22" s="9" t="s">
        <v>190</v>
      </c>
      <c r="P22" s="9" t="s">
        <v>191</v>
      </c>
      <c r="Q22" s="9"/>
      <c r="R22" s="9" t="s">
        <v>188</v>
      </c>
    </row>
    <row r="23" spans="1:18" ht="39.6" x14ac:dyDescent="0.3">
      <c r="A23" s="8">
        <f t="shared" si="0"/>
        <v>22</v>
      </c>
      <c r="B23" s="9" t="s">
        <v>192</v>
      </c>
      <c r="C23" s="9" t="s">
        <v>29</v>
      </c>
      <c r="D23" s="9" t="s">
        <v>50</v>
      </c>
      <c r="E23" s="9" t="s">
        <v>193</v>
      </c>
      <c r="F23" s="9" t="s">
        <v>194</v>
      </c>
      <c r="G23" s="9" t="s">
        <v>195</v>
      </c>
      <c r="H23" s="10">
        <v>36</v>
      </c>
      <c r="I23" s="10">
        <v>12</v>
      </c>
      <c r="J23" s="11">
        <f t="shared" si="1"/>
        <v>3</v>
      </c>
      <c r="K23" s="12">
        <f t="shared" si="2"/>
        <v>22</v>
      </c>
      <c r="L23" s="12">
        <f t="shared" si="3"/>
        <v>22</v>
      </c>
      <c r="M23" s="13">
        <f t="shared" si="4"/>
        <v>22</v>
      </c>
      <c r="N23" s="12" t="str">
        <f t="shared" si="5"/>
        <v>No</v>
      </c>
      <c r="O23" s="9" t="s">
        <v>196</v>
      </c>
      <c r="P23" s="9" t="s">
        <v>197</v>
      </c>
      <c r="Q23" s="9"/>
      <c r="R23" s="9" t="s">
        <v>194</v>
      </c>
    </row>
    <row r="24" spans="1:18" ht="39.6" x14ac:dyDescent="0.3">
      <c r="A24" s="8">
        <f t="shared" si="0"/>
        <v>23</v>
      </c>
      <c r="B24" s="9" t="s">
        <v>198</v>
      </c>
      <c r="C24" s="9" t="s">
        <v>67</v>
      </c>
      <c r="D24" s="9" t="s">
        <v>76</v>
      </c>
      <c r="E24" s="9" t="s">
        <v>199</v>
      </c>
      <c r="F24" s="9" t="s">
        <v>200</v>
      </c>
      <c r="G24" s="9" t="s">
        <v>201</v>
      </c>
      <c r="H24" s="10">
        <v>34</v>
      </c>
      <c r="I24" s="10">
        <v>14</v>
      </c>
      <c r="J24" s="11">
        <f t="shared" si="1"/>
        <v>2.4285714285714284</v>
      </c>
      <c r="K24" s="12">
        <f t="shared" si="2"/>
        <v>23</v>
      </c>
      <c r="L24" s="12">
        <f t="shared" si="3"/>
        <v>24</v>
      </c>
      <c r="M24" s="13">
        <f t="shared" si="4"/>
        <v>23.5</v>
      </c>
      <c r="N24" s="12" t="str">
        <f t="shared" si="5"/>
        <v>No</v>
      </c>
      <c r="O24" s="9" t="s">
        <v>202</v>
      </c>
      <c r="P24" s="9" t="s">
        <v>203</v>
      </c>
      <c r="Q24" s="9"/>
      <c r="R24" s="9" t="s">
        <v>200</v>
      </c>
    </row>
    <row r="25" spans="1:18" ht="26.4" x14ac:dyDescent="0.3">
      <c r="A25" s="8">
        <f t="shared" si="0"/>
        <v>24</v>
      </c>
      <c r="B25" s="9" t="s">
        <v>204</v>
      </c>
      <c r="C25" s="9" t="s">
        <v>49</v>
      </c>
      <c r="D25" s="9" t="s">
        <v>124</v>
      </c>
      <c r="E25" s="9" t="s">
        <v>110</v>
      </c>
      <c r="F25" s="9" t="s">
        <v>205</v>
      </c>
      <c r="G25" s="9" t="s">
        <v>206</v>
      </c>
      <c r="H25" s="10">
        <v>29</v>
      </c>
      <c r="I25" s="10">
        <v>10</v>
      </c>
      <c r="J25" s="11">
        <f t="shared" si="1"/>
        <v>2.9</v>
      </c>
      <c r="K25" s="12">
        <f t="shared" si="2"/>
        <v>24</v>
      </c>
      <c r="L25" s="12">
        <f t="shared" si="3"/>
        <v>23</v>
      </c>
      <c r="M25" s="13">
        <f t="shared" si="4"/>
        <v>23.5</v>
      </c>
      <c r="N25" s="12" t="str">
        <f t="shared" si="5"/>
        <v>No</v>
      </c>
      <c r="O25" s="9" t="s">
        <v>207</v>
      </c>
      <c r="P25" s="9" t="s">
        <v>208</v>
      </c>
      <c r="Q25" s="9"/>
      <c r="R25" s="9" t="s">
        <v>209</v>
      </c>
    </row>
    <row r="27" spans="1:18" x14ac:dyDescent="0.3">
      <c r="A27" s="14"/>
    </row>
    <row r="28" spans="1:18" x14ac:dyDescent="0.3">
      <c r="A28" s="15"/>
    </row>
    <row r="29" spans="1:18" x14ac:dyDescent="0.3">
      <c r="A29" s="15"/>
    </row>
    <row r="30" spans="1:18" x14ac:dyDescent="0.3">
      <c r="A30" s="15"/>
    </row>
    <row r="31" spans="1:18" x14ac:dyDescent="0.3">
      <c r="A31" s="15"/>
    </row>
    <row r="32" spans="1:18" x14ac:dyDescent="0.3">
      <c r="A32" s="15"/>
    </row>
  </sheetData>
  <autoFilter ref="A1:R2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46" customWidth="1"/>
    <col min="2" max="2" width="24" customWidth="1"/>
    <col min="3" max="3" width="40" customWidth="1"/>
    <col min="4" max="4" width="90" customWidth="1"/>
    <col min="5" max="5" width="16" customWidth="1"/>
  </cols>
  <sheetData>
    <row r="1" spans="1:5" ht="26.4" x14ac:dyDescent="0.3">
      <c r="A1" s="1" t="s">
        <v>1</v>
      </c>
      <c r="B1" s="1" t="s">
        <v>210</v>
      </c>
      <c r="C1" s="1" t="s">
        <v>211</v>
      </c>
      <c r="D1" s="1" t="s">
        <v>212</v>
      </c>
      <c r="E1" s="1" t="s">
        <v>213</v>
      </c>
    </row>
    <row r="2" spans="1:5" x14ac:dyDescent="0.3">
      <c r="A2" s="3" t="s">
        <v>38</v>
      </c>
      <c r="B2" s="3" t="s">
        <v>214</v>
      </c>
      <c r="C2" s="3" t="s">
        <v>215</v>
      </c>
      <c r="D2" s="3" t="s">
        <v>216</v>
      </c>
      <c r="E2" s="6">
        <f>IFERROR(INDEX('Top 20 Ranking'!$A$2:$A$25,MATCH(A2,'Top 20 Ranking'!$B$2:$B$25,0)),"-")</f>
        <v>3</v>
      </c>
    </row>
    <row r="3" spans="1:5" x14ac:dyDescent="0.3">
      <c r="A3" s="3" t="s">
        <v>28</v>
      </c>
      <c r="B3" s="3" t="s">
        <v>214</v>
      </c>
      <c r="C3" s="3" t="s">
        <v>215</v>
      </c>
      <c r="D3" s="3" t="s">
        <v>216</v>
      </c>
      <c r="E3" s="6">
        <f>IFERROR(INDEX('Top 20 Ranking'!$A$2:$A$25,MATCH(A3,'Top 20 Ranking'!$B$2:$B$25,0)),"-")</f>
        <v>2</v>
      </c>
    </row>
    <row r="4" spans="1:5" x14ac:dyDescent="0.3">
      <c r="A4" s="3" t="s">
        <v>57</v>
      </c>
      <c r="B4" s="3" t="s">
        <v>214</v>
      </c>
      <c r="C4" s="3" t="s">
        <v>215</v>
      </c>
      <c r="D4" s="3" t="s">
        <v>216</v>
      </c>
      <c r="E4" s="6">
        <f>IFERROR(INDEX('Top 20 Ranking'!$A$2:$A$25,MATCH(A4,'Top 20 Ranking'!$B$2:$B$25,0)),"-")</f>
        <v>5</v>
      </c>
    </row>
    <row r="5" spans="1:5" x14ac:dyDescent="0.3">
      <c r="A5" s="3" t="s">
        <v>66</v>
      </c>
      <c r="B5" s="3" t="s">
        <v>214</v>
      </c>
      <c r="C5" s="3" t="s">
        <v>215</v>
      </c>
      <c r="D5" s="3" t="s">
        <v>216</v>
      </c>
      <c r="E5" s="6">
        <f>IFERROR(INDEX('Top 20 Ranking'!$A$2:$A$25,MATCH(A5,'Top 20 Ranking'!$B$2:$B$25,0)),"-")</f>
        <v>6</v>
      </c>
    </row>
    <row r="6" spans="1:5" x14ac:dyDescent="0.3">
      <c r="A6" s="3" t="s">
        <v>18</v>
      </c>
      <c r="B6" s="3" t="s">
        <v>214</v>
      </c>
      <c r="C6" s="3" t="s">
        <v>215</v>
      </c>
      <c r="D6" s="3" t="s">
        <v>216</v>
      </c>
      <c r="E6" s="6">
        <f>IFERROR(INDEX('Top 20 Ranking'!$A$2:$A$25,MATCH(A6,'Top 20 Ranking'!$B$2:$B$25,0)),"-")</f>
        <v>1</v>
      </c>
    </row>
    <row r="7" spans="1:5" x14ac:dyDescent="0.3">
      <c r="A7" s="3" t="s">
        <v>159</v>
      </c>
      <c r="B7" s="3" t="s">
        <v>214</v>
      </c>
      <c r="C7" s="3" t="s">
        <v>215</v>
      </c>
      <c r="D7" s="3" t="s">
        <v>216</v>
      </c>
      <c r="E7" s="6">
        <f>IFERROR(INDEX('Top 20 Ranking'!$A$2:$A$25,MATCH(A7,'Top 20 Ranking'!$B$2:$B$25,0)),"-")</f>
        <v>18</v>
      </c>
    </row>
    <row r="8" spans="1:5" x14ac:dyDescent="0.3">
      <c r="A8" s="16" t="s">
        <v>184</v>
      </c>
      <c r="B8" s="16" t="s">
        <v>214</v>
      </c>
      <c r="C8" s="16" t="s">
        <v>217</v>
      </c>
      <c r="D8" s="16" t="s">
        <v>216</v>
      </c>
      <c r="E8" s="17">
        <f>IFERROR(INDEX('Top 20 Ranking'!$A$2:$A$25,MATCH(A8,'Top 20 Ranking'!$B$2:$B$25,0)),"-")</f>
        <v>21</v>
      </c>
    </row>
    <row r="9" spans="1:5" x14ac:dyDescent="0.3">
      <c r="A9" s="3" t="s">
        <v>130</v>
      </c>
      <c r="B9" s="3" t="s">
        <v>214</v>
      </c>
      <c r="C9" s="3" t="s">
        <v>215</v>
      </c>
      <c r="D9" s="3" t="s">
        <v>216</v>
      </c>
      <c r="E9" s="6">
        <f>IFERROR(INDEX('Top 20 Ranking'!$A$2:$A$25,MATCH(A9,'Top 20 Ranking'!$B$2:$B$25,0)),"-")</f>
        <v>14</v>
      </c>
    </row>
    <row r="10" spans="1:5" x14ac:dyDescent="0.3">
      <c r="A10" s="3" t="s">
        <v>137</v>
      </c>
      <c r="B10" s="3" t="s">
        <v>214</v>
      </c>
      <c r="C10" s="3" t="s">
        <v>215</v>
      </c>
      <c r="D10" s="3" t="s">
        <v>216</v>
      </c>
      <c r="E10" s="6">
        <f>IFERROR(INDEX('Top 20 Ranking'!$A$2:$A$25,MATCH(A10,'Top 20 Ranking'!$B$2:$B$25,0)),"-")</f>
        <v>15</v>
      </c>
    </row>
    <row r="11" spans="1:5" x14ac:dyDescent="0.3">
      <c r="A11" s="3" t="s">
        <v>74</v>
      </c>
      <c r="B11" s="3" t="s">
        <v>214</v>
      </c>
      <c r="C11" s="3" t="s">
        <v>215</v>
      </c>
      <c r="D11" s="3" t="s">
        <v>216</v>
      </c>
      <c r="E11" s="6">
        <f>IFERROR(INDEX('Top 20 Ranking'!$A$2:$A$25,MATCH(A11,'Top 20 Ranking'!$B$2:$B$25,0)),"-")</f>
        <v>7</v>
      </c>
    </row>
    <row r="12" spans="1:5" x14ac:dyDescent="0.3">
      <c r="A12" s="3" t="s">
        <v>84</v>
      </c>
      <c r="B12" s="3" t="s">
        <v>214</v>
      </c>
      <c r="C12" s="3" t="s">
        <v>215</v>
      </c>
      <c r="D12" s="3" t="s">
        <v>216</v>
      </c>
      <c r="E12" s="6">
        <f>IFERROR(INDEX('Top 20 Ranking'!$A$2:$A$25,MATCH(A12,'Top 20 Ranking'!$B$2:$B$25,0)),"-")</f>
        <v>8</v>
      </c>
    </row>
    <row r="13" spans="1:5" ht="26.4" x14ac:dyDescent="0.3">
      <c r="A13" s="3" t="s">
        <v>123</v>
      </c>
      <c r="B13" s="3" t="s">
        <v>214</v>
      </c>
      <c r="C13" s="3" t="s">
        <v>215</v>
      </c>
      <c r="D13" s="3" t="s">
        <v>216</v>
      </c>
      <c r="E13" s="6">
        <f>IFERROR(INDEX('Top 20 Ranking'!$A$2:$A$25,MATCH(A13,'Top 20 Ranking'!$B$2:$B$25,0)),"-")</f>
        <v>13</v>
      </c>
    </row>
    <row r="14" spans="1:5" x14ac:dyDescent="0.3">
      <c r="A14" s="3" t="s">
        <v>167</v>
      </c>
      <c r="B14" s="3" t="s">
        <v>214</v>
      </c>
      <c r="C14" s="3" t="s">
        <v>215</v>
      </c>
      <c r="D14" s="3" t="s">
        <v>216</v>
      </c>
      <c r="E14" s="6">
        <f>IFERROR(INDEX('Top 20 Ranking'!$A$2:$A$25,MATCH(A14,'Top 20 Ranking'!$B$2:$B$25,0)),"-")</f>
        <v>19</v>
      </c>
    </row>
    <row r="15" spans="1:5" x14ac:dyDescent="0.3">
      <c r="A15" s="3" t="s">
        <v>152</v>
      </c>
      <c r="B15" s="3" t="s">
        <v>214</v>
      </c>
      <c r="C15" s="3" t="s">
        <v>215</v>
      </c>
      <c r="D15" s="3" t="s">
        <v>216</v>
      </c>
      <c r="E15" s="6">
        <f>IFERROR(INDEX('Top 20 Ranking'!$A$2:$A$25,MATCH(A15,'Top 20 Ranking'!$B$2:$B$25,0)),"-")</f>
        <v>17</v>
      </c>
    </row>
    <row r="16" spans="1:5" ht="26.4" x14ac:dyDescent="0.3">
      <c r="A16" s="9" t="s">
        <v>218</v>
      </c>
      <c r="B16" s="9" t="s">
        <v>219</v>
      </c>
      <c r="C16" s="9" t="s">
        <v>220</v>
      </c>
      <c r="D16" s="9" t="s">
        <v>221</v>
      </c>
      <c r="E16" s="12" t="str">
        <f>IFERROR(INDEX('Top 20 Ranking'!$A$2:$A$25,MATCH(A16,'Top 20 Ranking'!$B$2:$B$25,0)),"-")</f>
        <v>-</v>
      </c>
    </row>
    <row r="17" spans="1:5" x14ac:dyDescent="0.3">
      <c r="A17" s="3" t="s">
        <v>145</v>
      </c>
      <c r="B17" s="3" t="s">
        <v>214</v>
      </c>
      <c r="C17" s="3" t="s">
        <v>215</v>
      </c>
      <c r="D17" s="3" t="s">
        <v>216</v>
      </c>
      <c r="E17" s="6">
        <f>IFERROR(INDEX('Top 20 Ranking'!$A$2:$A$25,MATCH(A17,'Top 20 Ranking'!$B$2:$B$25,0)),"-")</f>
        <v>16</v>
      </c>
    </row>
    <row r="18" spans="1:5" ht="26.4" x14ac:dyDescent="0.3">
      <c r="A18" s="9" t="s">
        <v>222</v>
      </c>
      <c r="B18" s="9" t="s">
        <v>219</v>
      </c>
      <c r="C18" s="9" t="s">
        <v>220</v>
      </c>
      <c r="D18" s="9" t="s">
        <v>223</v>
      </c>
      <c r="E18" s="12" t="str">
        <f>IFERROR(INDEX('Top 20 Ranking'!$A$2:$A$25,MATCH(A18,'Top 20 Ranking'!$B$2:$B$25,0)),"-")</f>
        <v>-</v>
      </c>
    </row>
    <row r="19" spans="1:5" ht="26.4" x14ac:dyDescent="0.3">
      <c r="A19" s="9" t="s">
        <v>224</v>
      </c>
      <c r="B19" s="9" t="s">
        <v>219</v>
      </c>
      <c r="C19" s="9" t="s">
        <v>220</v>
      </c>
      <c r="D19" s="9" t="s">
        <v>223</v>
      </c>
      <c r="E19" s="12" t="str">
        <f>IFERROR(INDEX('Top 20 Ranking'!$A$2:$A$25,MATCH(A19,'Top 20 Ranking'!$B$2:$B$25,0)),"-")</f>
        <v>-</v>
      </c>
    </row>
    <row r="20" spans="1:5" x14ac:dyDescent="0.3">
      <c r="A20" s="16" t="s">
        <v>192</v>
      </c>
      <c r="B20" s="16" t="s">
        <v>214</v>
      </c>
      <c r="C20" s="16" t="s">
        <v>217</v>
      </c>
      <c r="D20" s="16" t="s">
        <v>216</v>
      </c>
      <c r="E20" s="17">
        <f>IFERROR(INDEX('Top 20 Ranking'!$A$2:$A$25,MATCH(A20,'Top 20 Ranking'!$B$2:$B$25,0)),"-")</f>
        <v>22</v>
      </c>
    </row>
    <row r="21" spans="1:5" ht="26.4" x14ac:dyDescent="0.3">
      <c r="A21" s="9" t="s">
        <v>225</v>
      </c>
      <c r="B21" s="9" t="s">
        <v>219</v>
      </c>
      <c r="C21" s="9" t="s">
        <v>220</v>
      </c>
      <c r="D21" s="9" t="s">
        <v>223</v>
      </c>
      <c r="E21" s="12" t="str">
        <f>IFERROR(INDEX('Top 20 Ranking'!$A$2:$A$25,MATCH(A21,'Top 20 Ranking'!$B$2:$B$25,0)),"-")</f>
        <v>-</v>
      </c>
    </row>
    <row r="22" spans="1:5" x14ac:dyDescent="0.3">
      <c r="A22" s="3" t="s">
        <v>107</v>
      </c>
      <c r="B22" s="3" t="s">
        <v>214</v>
      </c>
      <c r="C22" s="3" t="s">
        <v>215</v>
      </c>
      <c r="D22" s="3" t="s">
        <v>216</v>
      </c>
      <c r="E22" s="6">
        <f>IFERROR(INDEX('Top 20 Ranking'!$A$2:$A$25,MATCH(A22,'Top 20 Ranking'!$B$2:$B$25,0)),"-")</f>
        <v>11</v>
      </c>
    </row>
    <row r="23" spans="1:5" x14ac:dyDescent="0.3">
      <c r="A23" s="3" t="s">
        <v>93</v>
      </c>
      <c r="B23" s="3" t="s">
        <v>214</v>
      </c>
      <c r="C23" s="3" t="s">
        <v>215</v>
      </c>
      <c r="D23" s="3" t="s">
        <v>216</v>
      </c>
      <c r="E23" s="6">
        <f>IFERROR(INDEX('Top 20 Ranking'!$A$2:$A$25,MATCH(A23,'Top 20 Ranking'!$B$2:$B$25,0)),"-")</f>
        <v>9</v>
      </c>
    </row>
    <row r="24" spans="1:5" ht="26.4" x14ac:dyDescent="0.3">
      <c r="A24" s="9" t="s">
        <v>226</v>
      </c>
      <c r="B24" s="9" t="s">
        <v>227</v>
      </c>
      <c r="C24" s="9" t="s">
        <v>228</v>
      </c>
      <c r="D24" s="9" t="s">
        <v>229</v>
      </c>
      <c r="E24" s="12" t="str">
        <f>IFERROR(INDEX('Top 20 Ranking'!$A$2:$A$25,MATCH(A24,'Top 20 Ranking'!$B$2:$B$25,0)),"-")</f>
        <v>-</v>
      </c>
    </row>
    <row r="25" spans="1:5" x14ac:dyDescent="0.3">
      <c r="A25" s="3" t="s">
        <v>176</v>
      </c>
      <c r="B25" s="3" t="s">
        <v>214</v>
      </c>
      <c r="C25" s="3" t="s">
        <v>215</v>
      </c>
      <c r="D25" s="3" t="s">
        <v>216</v>
      </c>
      <c r="E25" s="6">
        <f>IFERROR(INDEX('Top 20 Ranking'!$A$2:$A$25,MATCH(A25,'Top 20 Ranking'!$B$2:$B$25,0)),"-")</f>
        <v>20</v>
      </c>
    </row>
    <row r="26" spans="1:5" x14ac:dyDescent="0.3">
      <c r="A26" s="3" t="s">
        <v>115</v>
      </c>
      <c r="B26" s="3" t="s">
        <v>214</v>
      </c>
      <c r="C26" s="3" t="s">
        <v>215</v>
      </c>
      <c r="D26" s="3" t="s">
        <v>216</v>
      </c>
      <c r="E26" s="6">
        <f>IFERROR(INDEX('Top 20 Ranking'!$A$2:$A$25,MATCH(A26,'Top 20 Ranking'!$B$2:$B$25,0)),"-")</f>
        <v>12</v>
      </c>
    </row>
    <row r="27" spans="1:5" x14ac:dyDescent="0.3">
      <c r="A27" s="3" t="s">
        <v>48</v>
      </c>
      <c r="B27" s="3" t="s">
        <v>214</v>
      </c>
      <c r="C27" s="3" t="s">
        <v>215</v>
      </c>
      <c r="D27" s="3" t="s">
        <v>216</v>
      </c>
      <c r="E27" s="6">
        <f>IFERROR(INDEX('Top 20 Ranking'!$A$2:$A$25,MATCH(A27,'Top 20 Ranking'!$B$2:$B$25,0)),"-")</f>
        <v>4</v>
      </c>
    </row>
    <row r="28" spans="1:5" x14ac:dyDescent="0.3">
      <c r="A28" s="16" t="s">
        <v>198</v>
      </c>
      <c r="B28" s="16" t="s">
        <v>214</v>
      </c>
      <c r="C28" s="16" t="s">
        <v>217</v>
      </c>
      <c r="D28" s="16" t="s">
        <v>216</v>
      </c>
      <c r="E28" s="17">
        <f>IFERROR(INDEX('Top 20 Ranking'!$A$2:$A$25,MATCH(A28,'Top 20 Ranking'!$B$2:$B$25,0)),"-")</f>
        <v>23</v>
      </c>
    </row>
    <row r="29" spans="1:5" x14ac:dyDescent="0.3">
      <c r="A29" s="3" t="s">
        <v>99</v>
      </c>
      <c r="B29" s="3" t="s">
        <v>214</v>
      </c>
      <c r="C29" s="3" t="s">
        <v>215</v>
      </c>
      <c r="D29" s="3" t="s">
        <v>216</v>
      </c>
      <c r="E29" s="6">
        <f>IFERROR(INDEX('Top 20 Ranking'!$A$2:$A$25,MATCH(A29,'Top 20 Ranking'!$B$2:$B$25,0)),"-")</f>
        <v>10</v>
      </c>
    </row>
    <row r="30" spans="1:5" ht="26.4" x14ac:dyDescent="0.3">
      <c r="A30" s="9" t="s">
        <v>230</v>
      </c>
      <c r="B30" s="9" t="s">
        <v>227</v>
      </c>
      <c r="C30" s="9" t="s">
        <v>228</v>
      </c>
      <c r="D30" s="9" t="s">
        <v>229</v>
      </c>
      <c r="E30" s="12" t="str">
        <f>IFERROR(INDEX('Top 20 Ranking'!$A$2:$A$25,MATCH(A30,'Top 20 Ranking'!$B$2:$B$25,0)),"-")</f>
        <v>-</v>
      </c>
    </row>
    <row r="31" spans="1:5" ht="26.4" x14ac:dyDescent="0.3">
      <c r="A31" s="9" t="s">
        <v>231</v>
      </c>
      <c r="B31" s="9" t="s">
        <v>219</v>
      </c>
      <c r="C31" s="9" t="s">
        <v>220</v>
      </c>
      <c r="D31" s="9" t="s">
        <v>223</v>
      </c>
      <c r="E31" s="12" t="str">
        <f>IFERROR(INDEX('Top 20 Ranking'!$A$2:$A$25,MATCH(A31,'Top 20 Ranking'!$B$2:$B$25,0)),"-")</f>
        <v>-</v>
      </c>
    </row>
    <row r="32" spans="1:5" x14ac:dyDescent="0.3">
      <c r="A32" s="16" t="s">
        <v>204</v>
      </c>
      <c r="B32" s="16" t="s">
        <v>214</v>
      </c>
      <c r="C32" s="16" t="s">
        <v>217</v>
      </c>
      <c r="D32" s="16" t="s">
        <v>216</v>
      </c>
      <c r="E32" s="17">
        <f>IFERROR(INDEX('Top 20 Ranking'!$A$2:$A$25,MATCH(A32,'Top 20 Ranking'!$B$2:$B$25,0)),"-")</f>
        <v>24</v>
      </c>
    </row>
    <row r="33" spans="1:5" ht="26.4" x14ac:dyDescent="0.3">
      <c r="A33" s="9" t="s">
        <v>232</v>
      </c>
      <c r="B33" s="9" t="s">
        <v>219</v>
      </c>
      <c r="C33" s="9" t="s">
        <v>220</v>
      </c>
      <c r="D33" s="9" t="s">
        <v>223</v>
      </c>
      <c r="E33" s="12" t="str">
        <f>IFERROR(INDEX('Top 20 Ranking'!$A$2:$A$25,MATCH(A33,'Top 20 Ranking'!$B$2:$B$25,0)),"-")</f>
        <v>-</v>
      </c>
    </row>
  </sheetData>
  <autoFilter ref="A1:E3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zoomScaleNormal="100" workbookViewId="0"/>
  </sheetViews>
  <sheetFormatPr defaultColWidth="8.6640625" defaultRowHeight="14.4" x14ac:dyDescent="0.3"/>
  <cols>
    <col min="1" max="1" width="34" customWidth="1"/>
    <col min="2" max="2" width="120" customWidth="1"/>
  </cols>
  <sheetData>
    <row r="1" spans="1:2" x14ac:dyDescent="0.3">
      <c r="A1" s="18" t="s">
        <v>233</v>
      </c>
      <c r="B1" s="19"/>
    </row>
    <row r="2" spans="1:2" ht="26.4" x14ac:dyDescent="0.3">
      <c r="A2" s="20" t="s">
        <v>234</v>
      </c>
      <c r="B2" s="16" t="s">
        <v>235</v>
      </c>
    </row>
    <row r="3" spans="1:2" ht="26.4" x14ac:dyDescent="0.3">
      <c r="A3" s="20" t="s">
        <v>236</v>
      </c>
      <c r="B3" s="16" t="s">
        <v>237</v>
      </c>
    </row>
    <row r="4" spans="1:2" x14ac:dyDescent="0.3">
      <c r="A4" s="20" t="s">
        <v>238</v>
      </c>
      <c r="B4" s="16" t="s">
        <v>239</v>
      </c>
    </row>
    <row r="5" spans="1:2" ht="26.4" x14ac:dyDescent="0.3">
      <c r="A5" s="20" t="s">
        <v>240</v>
      </c>
      <c r="B5" s="16" t="s">
        <v>241</v>
      </c>
    </row>
    <row r="6" spans="1:2" x14ac:dyDescent="0.3">
      <c r="A6" s="18" t="s">
        <v>242</v>
      </c>
      <c r="B6" s="19"/>
    </row>
    <row r="7" spans="1:2" x14ac:dyDescent="0.3">
      <c r="A7" s="20" t="s">
        <v>243</v>
      </c>
      <c r="B7" s="16" t="s">
        <v>244</v>
      </c>
    </row>
    <row r="8" spans="1:2" x14ac:dyDescent="0.3">
      <c r="A8" s="20" t="s">
        <v>245</v>
      </c>
      <c r="B8" s="16" t="s">
        <v>246</v>
      </c>
    </row>
    <row r="9" spans="1:2" x14ac:dyDescent="0.3">
      <c r="A9" s="20" t="s">
        <v>247</v>
      </c>
      <c r="B9" s="16" t="s">
        <v>248</v>
      </c>
    </row>
    <row r="10" spans="1:2" x14ac:dyDescent="0.3">
      <c r="A10" s="20" t="s">
        <v>249</v>
      </c>
      <c r="B10" s="16" t="s">
        <v>250</v>
      </c>
    </row>
    <row r="11" spans="1:2" ht="26.4" x14ac:dyDescent="0.3">
      <c r="A11" s="20" t="s">
        <v>251</v>
      </c>
      <c r="B11" s="16" t="s">
        <v>252</v>
      </c>
    </row>
    <row r="12" spans="1:2" ht="39.6" x14ac:dyDescent="0.3">
      <c r="A12" s="20" t="s">
        <v>253</v>
      </c>
      <c r="B12" s="16" t="s">
        <v>254</v>
      </c>
    </row>
    <row r="13" spans="1:2" x14ac:dyDescent="0.3">
      <c r="A13" s="18" t="s">
        <v>255</v>
      </c>
      <c r="B13" s="19"/>
    </row>
    <row r="14" spans="1:2" ht="26.4" x14ac:dyDescent="0.3">
      <c r="A14" s="20" t="s">
        <v>256</v>
      </c>
      <c r="B14" s="16" t="s">
        <v>257</v>
      </c>
    </row>
    <row r="15" spans="1:2" ht="26.4" x14ac:dyDescent="0.3">
      <c r="A15" s="20" t="s">
        <v>258</v>
      </c>
      <c r="B15" s="16" t="s">
        <v>259</v>
      </c>
    </row>
    <row r="16" spans="1:2" ht="26.4" x14ac:dyDescent="0.3">
      <c r="A16" s="20" t="s">
        <v>260</v>
      </c>
      <c r="B16" s="16" t="s">
        <v>261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 20 Ranking</vt:lpstr>
      <vt:lpstr>All Candidates (32)</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Glenisha Dsouza</cp:lastModifiedBy>
  <cp:revision>0</cp:revision>
  <dcterms:created xsi:type="dcterms:W3CDTF">2026-10-19T06:39:37Z</dcterms:created>
  <dcterms:modified xsi:type="dcterms:W3CDTF">2026-10-19T07:31:21Z</dcterms:modified>
  <dc:language>en-US</dc:language>
</cp:coreProperties>
</file>